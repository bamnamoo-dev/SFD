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2026-율현초\예산내역\"/>
    </mc:Choice>
  </mc:AlternateContent>
  <xr:revisionPtr revIDLastSave="0" documentId="13_ncr:1_{D27F8A6C-293C-400D-95CF-6FB8FC6C99F1}" xr6:coauthVersionLast="36" xr6:coauthVersionMax="36" xr10:uidLastSave="{00000000-0000-0000-0000-000000000000}"/>
  <bookViews>
    <workbookView xWindow="-120" yWindow="-120" windowWidth="29040" windowHeight="15840" activeTab="1" xr2:uid="{00000000-000D-0000-FFFF-FFFF00000000}"/>
  </bookViews>
  <sheets>
    <sheet name="사용방법" sheetId="21" r:id="rId1"/>
    <sheet name="세부사업" sheetId="30" r:id="rId2"/>
    <sheet name="추경" sheetId="33" r:id="rId3"/>
    <sheet name="세부지출현황" sheetId="31" r:id="rId4"/>
  </sheets>
  <definedNames>
    <definedName name="_xlnm._FilterDatabase" localSheetId="1" hidden="1">세부사업!$A$1:$M$1</definedName>
    <definedName name="_xlnm._FilterDatabase" localSheetId="3" hidden="1">세부지출현황!$A$1:$G$1754</definedName>
    <definedName name="_xlnm._FilterDatabase" localSheetId="2" hidden="1">추경!$A$1:$M$1</definedName>
    <definedName name="_xlnm.Print_Area" localSheetId="2">추경!#REF!</definedName>
    <definedName name="_xlnm.Print_Titles" localSheetId="1">세부사업!$1:$1</definedName>
    <definedName name="_xlnm.Print_Titles" localSheetId="3">세부지출현황!$1:$1</definedName>
    <definedName name="_xlnm.Print_Titles" localSheetId="2">추경!$1:$1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6" i="33" l="1"/>
  <c r="J106" i="33"/>
  <c r="H106" i="33"/>
  <c r="G106" i="33"/>
  <c r="L84" i="33"/>
  <c r="J84" i="33"/>
  <c r="H84" i="33"/>
  <c r="G84" i="33"/>
  <c r="L80" i="33"/>
  <c r="J80" i="33"/>
  <c r="H80" i="33"/>
  <c r="G80" i="33"/>
  <c r="L78" i="33"/>
  <c r="J78" i="33"/>
  <c r="H78" i="33"/>
  <c r="G78" i="33"/>
  <c r="L76" i="33"/>
  <c r="K76" i="33"/>
  <c r="J76" i="33"/>
  <c r="H76" i="33"/>
  <c r="G76" i="33"/>
  <c r="L74" i="33"/>
  <c r="J74" i="33"/>
  <c r="H74" i="33"/>
  <c r="G74" i="33"/>
  <c r="L70" i="33"/>
  <c r="J70" i="33"/>
  <c r="H70" i="33"/>
  <c r="G70" i="33"/>
  <c r="L63" i="33"/>
  <c r="J63" i="33"/>
  <c r="H63" i="33"/>
  <c r="G63" i="33"/>
  <c r="L59" i="33"/>
  <c r="J59" i="33"/>
  <c r="H59" i="33"/>
  <c r="G59" i="33"/>
  <c r="L57" i="33"/>
  <c r="J57" i="33"/>
  <c r="H57" i="33"/>
  <c r="G57" i="33"/>
  <c r="L38" i="33"/>
  <c r="J38" i="33"/>
  <c r="H38" i="33"/>
  <c r="G38" i="33"/>
  <c r="L35" i="33"/>
  <c r="J35" i="33"/>
  <c r="H35" i="33"/>
  <c r="G35" i="33"/>
  <c r="L33" i="33"/>
  <c r="J33" i="33"/>
  <c r="H33" i="33"/>
  <c r="G33" i="33"/>
  <c r="L31" i="33"/>
  <c r="J31" i="33"/>
  <c r="H31" i="33"/>
  <c r="G31" i="33"/>
  <c r="L26" i="33"/>
  <c r="J26" i="33"/>
  <c r="H26" i="33"/>
  <c r="G26" i="33"/>
  <c r="L21" i="33"/>
  <c r="J21" i="33"/>
  <c r="H21" i="33"/>
  <c r="G21" i="33"/>
  <c r="L17" i="33"/>
  <c r="J17" i="33"/>
  <c r="H17" i="33"/>
  <c r="G17" i="33"/>
  <c r="L12" i="33"/>
  <c r="J12" i="33"/>
  <c r="H12" i="33"/>
  <c r="G12" i="33"/>
  <c r="L9" i="33"/>
  <c r="L107" i="33" s="1"/>
  <c r="J9" i="33"/>
  <c r="H9" i="33"/>
  <c r="G9" i="33"/>
  <c r="K2" i="33"/>
  <c r="K3" i="33"/>
  <c r="K4" i="33"/>
  <c r="K5" i="33"/>
  <c r="K6" i="33"/>
  <c r="K7" i="33"/>
  <c r="K8" i="33"/>
  <c r="K10" i="33"/>
  <c r="K12" i="33" s="1"/>
  <c r="K11" i="33"/>
  <c r="K13" i="33"/>
  <c r="K17" i="33" s="1"/>
  <c r="K14" i="33"/>
  <c r="K15" i="33"/>
  <c r="K16" i="33"/>
  <c r="K18" i="33"/>
  <c r="K19" i="33"/>
  <c r="K20" i="33"/>
  <c r="K22" i="33"/>
  <c r="K23" i="33"/>
  <c r="K24" i="33"/>
  <c r="K25" i="33"/>
  <c r="K27" i="33"/>
  <c r="K28" i="33"/>
  <c r="K29" i="33"/>
  <c r="K30" i="33"/>
  <c r="K32" i="33"/>
  <c r="K33" i="33" s="1"/>
  <c r="K34" i="33"/>
  <c r="K35" i="33" s="1"/>
  <c r="K36" i="33"/>
  <c r="K38" i="33" s="1"/>
  <c r="K37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8" i="33"/>
  <c r="K59" i="33" s="1"/>
  <c r="K60" i="33"/>
  <c r="K61" i="33"/>
  <c r="K62" i="33"/>
  <c r="K64" i="33"/>
  <c r="K65" i="33"/>
  <c r="K66" i="33"/>
  <c r="K67" i="33"/>
  <c r="K68" i="33"/>
  <c r="K69" i="33"/>
  <c r="K71" i="33"/>
  <c r="K72" i="33"/>
  <c r="K73" i="33"/>
  <c r="K75" i="33"/>
  <c r="K77" i="33"/>
  <c r="K78" i="33" s="1"/>
  <c r="K79" i="33"/>
  <c r="K80" i="33" s="1"/>
  <c r="K81" i="33"/>
  <c r="K84" i="33" s="1"/>
  <c r="K82" i="33"/>
  <c r="K83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97" i="33"/>
  <c r="K98" i="33"/>
  <c r="K99" i="33"/>
  <c r="K100" i="33"/>
  <c r="K101" i="33"/>
  <c r="K102" i="33"/>
  <c r="K103" i="33"/>
  <c r="K104" i="33"/>
  <c r="K105" i="33"/>
  <c r="I2" i="33"/>
  <c r="I3" i="33"/>
  <c r="I4" i="33"/>
  <c r="I5" i="33"/>
  <c r="I6" i="33"/>
  <c r="I7" i="33"/>
  <c r="I8" i="33"/>
  <c r="I10" i="33"/>
  <c r="I12" i="33" s="1"/>
  <c r="I11" i="33"/>
  <c r="I13" i="33"/>
  <c r="I14" i="33"/>
  <c r="I15" i="33"/>
  <c r="I16" i="33"/>
  <c r="I18" i="33"/>
  <c r="I19" i="33"/>
  <c r="I20" i="33"/>
  <c r="I22" i="33"/>
  <c r="I23" i="33"/>
  <c r="I24" i="33"/>
  <c r="I25" i="33"/>
  <c r="I27" i="33"/>
  <c r="I31" i="33" s="1"/>
  <c r="I28" i="33"/>
  <c r="I29" i="33"/>
  <c r="I30" i="33"/>
  <c r="I32" i="33"/>
  <c r="I33" i="33" s="1"/>
  <c r="I34" i="33"/>
  <c r="I35" i="33" s="1"/>
  <c r="I36" i="33"/>
  <c r="I37" i="33"/>
  <c r="I39" i="33"/>
  <c r="I40" i="33"/>
  <c r="I41" i="33"/>
  <c r="I42" i="33"/>
  <c r="I43" i="33"/>
  <c r="I44" i="33"/>
  <c r="I45" i="33"/>
  <c r="I46" i="33"/>
  <c r="I47" i="33"/>
  <c r="I48" i="33"/>
  <c r="I49" i="33"/>
  <c r="I50" i="33"/>
  <c r="I51" i="33"/>
  <c r="I52" i="33"/>
  <c r="I53" i="33"/>
  <c r="I54" i="33"/>
  <c r="I55" i="33"/>
  <c r="I56" i="33"/>
  <c r="I58" i="33"/>
  <c r="I59" i="33" s="1"/>
  <c r="I60" i="33"/>
  <c r="I61" i="33"/>
  <c r="I62" i="33"/>
  <c r="I64" i="33"/>
  <c r="I65" i="33"/>
  <c r="I66" i="33"/>
  <c r="I67" i="33"/>
  <c r="I68" i="33"/>
  <c r="I69" i="33"/>
  <c r="I71" i="33"/>
  <c r="I72" i="33"/>
  <c r="I73" i="33"/>
  <c r="I75" i="33"/>
  <c r="I76" i="33" s="1"/>
  <c r="I77" i="33"/>
  <c r="I78" i="33" s="1"/>
  <c r="I79" i="33"/>
  <c r="I80" i="33" s="1"/>
  <c r="I81" i="33"/>
  <c r="I84" i="33" s="1"/>
  <c r="I82" i="33"/>
  <c r="I83" i="33"/>
  <c r="I85" i="33"/>
  <c r="I86" i="33"/>
  <c r="I87" i="33"/>
  <c r="I88" i="33"/>
  <c r="I89" i="33"/>
  <c r="I90" i="33"/>
  <c r="I91" i="33"/>
  <c r="I92" i="33"/>
  <c r="I93" i="33"/>
  <c r="I94" i="33"/>
  <c r="I95" i="33"/>
  <c r="I96" i="33"/>
  <c r="I97" i="33"/>
  <c r="I98" i="33"/>
  <c r="I99" i="33"/>
  <c r="I100" i="33"/>
  <c r="I101" i="33"/>
  <c r="I102" i="33"/>
  <c r="I103" i="33"/>
  <c r="I104" i="33"/>
  <c r="I105" i="33"/>
  <c r="L35" i="30"/>
  <c r="L80" i="30"/>
  <c r="J106" i="30"/>
  <c r="H106" i="30"/>
  <c r="G106" i="30"/>
  <c r="J84" i="30"/>
  <c r="H84" i="30"/>
  <c r="G84" i="30"/>
  <c r="J80" i="30"/>
  <c r="H80" i="30"/>
  <c r="G80" i="30"/>
  <c r="J78" i="30"/>
  <c r="H78" i="30"/>
  <c r="G78" i="30"/>
  <c r="J76" i="30"/>
  <c r="H76" i="30"/>
  <c r="G76" i="30"/>
  <c r="J74" i="30"/>
  <c r="H74" i="30"/>
  <c r="G74" i="30"/>
  <c r="J70" i="30"/>
  <c r="H70" i="30"/>
  <c r="G70" i="30"/>
  <c r="J63" i="30"/>
  <c r="H63" i="30"/>
  <c r="G63" i="30"/>
  <c r="J59" i="30"/>
  <c r="H59" i="30"/>
  <c r="G59" i="30"/>
  <c r="J57" i="30"/>
  <c r="H57" i="30"/>
  <c r="G57" i="30"/>
  <c r="J38" i="30"/>
  <c r="H38" i="30"/>
  <c r="G38" i="30"/>
  <c r="J35" i="30"/>
  <c r="H35" i="30"/>
  <c r="G35" i="30"/>
  <c r="J33" i="30"/>
  <c r="H33" i="30"/>
  <c r="G33" i="30"/>
  <c r="J31" i="30"/>
  <c r="H31" i="30"/>
  <c r="G31" i="30"/>
  <c r="J26" i="30"/>
  <c r="H26" i="30"/>
  <c r="G26" i="30"/>
  <c r="J21" i="30"/>
  <c r="H21" i="30"/>
  <c r="G21" i="30"/>
  <c r="J17" i="30"/>
  <c r="H17" i="30"/>
  <c r="G17" i="30"/>
  <c r="J12" i="30"/>
  <c r="H12" i="30"/>
  <c r="G12" i="30"/>
  <c r="J9" i="30"/>
  <c r="H9" i="30"/>
  <c r="G9" i="30"/>
  <c r="K2" i="30"/>
  <c r="K3" i="30"/>
  <c r="K4" i="30"/>
  <c r="K5" i="30"/>
  <c r="K6" i="30"/>
  <c r="K7" i="30"/>
  <c r="K8" i="30"/>
  <c r="K10" i="30"/>
  <c r="K11" i="30"/>
  <c r="K12" i="30" s="1"/>
  <c r="L12" i="30" s="1"/>
  <c r="K13" i="30"/>
  <c r="K14" i="30"/>
  <c r="K15" i="30"/>
  <c r="K16" i="30"/>
  <c r="K18" i="30"/>
  <c r="K19" i="30"/>
  <c r="K20" i="30"/>
  <c r="K22" i="30"/>
  <c r="K26" i="30" s="1"/>
  <c r="L26" i="30" s="1"/>
  <c r="K23" i="30"/>
  <c r="K24" i="30"/>
  <c r="K25" i="30"/>
  <c r="K27" i="30"/>
  <c r="K28" i="30"/>
  <c r="K29" i="30"/>
  <c r="K30" i="30"/>
  <c r="K32" i="30"/>
  <c r="K33" i="30" s="1"/>
  <c r="L33" i="30" s="1"/>
  <c r="K34" i="30"/>
  <c r="K35" i="30" s="1"/>
  <c r="K36" i="30"/>
  <c r="K38" i="30" s="1"/>
  <c r="L38" i="30" s="1"/>
  <c r="K37" i="30"/>
  <c r="K39" i="30"/>
  <c r="K40" i="30"/>
  <c r="K41" i="30"/>
  <c r="K42" i="30"/>
  <c r="K43" i="30"/>
  <c r="K44" i="30"/>
  <c r="K45" i="30"/>
  <c r="K46" i="30"/>
  <c r="K47" i="30"/>
  <c r="K48" i="30"/>
  <c r="K49" i="30"/>
  <c r="K50" i="30"/>
  <c r="K51" i="30"/>
  <c r="K52" i="30"/>
  <c r="K53" i="30"/>
  <c r="K54" i="30"/>
  <c r="K55" i="30"/>
  <c r="K56" i="30"/>
  <c r="K58" i="30"/>
  <c r="K59" i="30" s="1"/>
  <c r="L59" i="30" s="1"/>
  <c r="K60" i="30"/>
  <c r="K63" i="30" s="1"/>
  <c r="L63" i="30" s="1"/>
  <c r="K61" i="30"/>
  <c r="K62" i="30"/>
  <c r="K64" i="30"/>
  <c r="K65" i="30"/>
  <c r="K66" i="30"/>
  <c r="K67" i="30"/>
  <c r="K68" i="30"/>
  <c r="K69" i="30"/>
  <c r="K71" i="30"/>
  <c r="K72" i="30"/>
  <c r="K73" i="30"/>
  <c r="K75" i="30"/>
  <c r="K76" i="30" s="1"/>
  <c r="L76" i="30" s="1"/>
  <c r="K77" i="30"/>
  <c r="K78" i="30" s="1"/>
  <c r="L78" i="30" s="1"/>
  <c r="K79" i="30"/>
  <c r="K80" i="30" s="1"/>
  <c r="K81" i="30"/>
  <c r="K82" i="30"/>
  <c r="K83" i="30"/>
  <c r="K85" i="30"/>
  <c r="K86" i="30"/>
  <c r="K87" i="30"/>
  <c r="K88" i="30"/>
  <c r="K89" i="30"/>
  <c r="K90" i="30"/>
  <c r="K91" i="30"/>
  <c r="K92" i="30"/>
  <c r="K93" i="30"/>
  <c r="K94" i="30"/>
  <c r="K95" i="30"/>
  <c r="K96" i="30"/>
  <c r="K97" i="30"/>
  <c r="K98" i="30"/>
  <c r="K99" i="30"/>
  <c r="K100" i="30"/>
  <c r="K101" i="30"/>
  <c r="K102" i="30"/>
  <c r="K103" i="30"/>
  <c r="K104" i="30"/>
  <c r="K105" i="30"/>
  <c r="I2" i="30"/>
  <c r="I9" i="30" s="1"/>
  <c r="I3" i="30"/>
  <c r="I4" i="30"/>
  <c r="I5" i="30"/>
  <c r="I6" i="30"/>
  <c r="I7" i="30"/>
  <c r="I8" i="30"/>
  <c r="I10" i="30"/>
  <c r="I11" i="30"/>
  <c r="I13" i="30"/>
  <c r="I17" i="30" s="1"/>
  <c r="I14" i="30"/>
  <c r="I15" i="30"/>
  <c r="I16" i="30"/>
  <c r="I18" i="30"/>
  <c r="I19" i="30"/>
  <c r="I20" i="30"/>
  <c r="I22" i="30"/>
  <c r="I23" i="30"/>
  <c r="I24" i="30"/>
  <c r="I25" i="30"/>
  <c r="I27" i="30"/>
  <c r="I28" i="30"/>
  <c r="I29" i="30"/>
  <c r="I31" i="30" s="1"/>
  <c r="I30" i="30"/>
  <c r="I32" i="30"/>
  <c r="I33" i="30" s="1"/>
  <c r="I34" i="30"/>
  <c r="I35" i="30" s="1"/>
  <c r="I36" i="30"/>
  <c r="I38" i="30" s="1"/>
  <c r="I37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8" i="30"/>
  <c r="I59" i="30" s="1"/>
  <c r="I60" i="30"/>
  <c r="I61" i="30"/>
  <c r="I62" i="30"/>
  <c r="I64" i="30"/>
  <c r="I70" i="30" s="1"/>
  <c r="I65" i="30"/>
  <c r="I66" i="30"/>
  <c r="I67" i="30"/>
  <c r="I68" i="30"/>
  <c r="I69" i="30"/>
  <c r="I71" i="30"/>
  <c r="I74" i="30" s="1"/>
  <c r="I72" i="30"/>
  <c r="I73" i="30"/>
  <c r="I75" i="30"/>
  <c r="I76" i="30" s="1"/>
  <c r="I77" i="30"/>
  <c r="I78" i="30" s="1"/>
  <c r="I79" i="30"/>
  <c r="I80" i="30" s="1"/>
  <c r="I81" i="30"/>
  <c r="I84" i="30" s="1"/>
  <c r="I82" i="30"/>
  <c r="I83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21" i="33" l="1"/>
  <c r="K70" i="33"/>
  <c r="I70" i="33"/>
  <c r="I38" i="33"/>
  <c r="K74" i="33"/>
  <c r="K26" i="33"/>
  <c r="I106" i="33"/>
  <c r="I74" i="33"/>
  <c r="I57" i="33"/>
  <c r="I17" i="33"/>
  <c r="K106" i="33"/>
  <c r="K63" i="33"/>
  <c r="G107" i="33"/>
  <c r="I26" i="33"/>
  <c r="H107" i="33"/>
  <c r="I63" i="33"/>
  <c r="K57" i="33"/>
  <c r="K31" i="33"/>
  <c r="K21" i="33"/>
  <c r="J107" i="33"/>
  <c r="I9" i="33"/>
  <c r="I107" i="33" s="1"/>
  <c r="K9" i="33"/>
  <c r="G107" i="30"/>
  <c r="I26" i="30"/>
  <c r="K84" i="30"/>
  <c r="L84" i="30" s="1"/>
  <c r="H107" i="30"/>
  <c r="I63" i="30"/>
  <c r="I12" i="30"/>
  <c r="K21" i="30"/>
  <c r="L21" i="30" s="1"/>
  <c r="K31" i="30"/>
  <c r="L31" i="30" s="1"/>
  <c r="I106" i="30"/>
  <c r="I21" i="30"/>
  <c r="K57" i="30"/>
  <c r="L57" i="30" s="1"/>
  <c r="K9" i="30"/>
  <c r="L9" i="30" s="1"/>
  <c r="I57" i="30"/>
  <c r="I107" i="30" s="1"/>
  <c r="K74" i="30"/>
  <c r="L74" i="30" s="1"/>
  <c r="K70" i="30"/>
  <c r="L70" i="30" s="1"/>
  <c r="J107" i="30"/>
  <c r="K106" i="30"/>
  <c r="L106" i="30" s="1"/>
  <c r="K17" i="30"/>
  <c r="L17" i="30" s="1"/>
  <c r="G1755" i="31"/>
  <c r="K107" i="33" l="1"/>
  <c r="K107" i="30"/>
  <c r="L107" i="30" s="1"/>
</calcChain>
</file>

<file path=xl/sharedStrings.xml><?xml version="1.0" encoding="utf-8"?>
<sst xmlns="http://schemas.openxmlformats.org/spreadsheetml/2006/main" count="10045" uniqueCount="2317">
  <si>
    <t>정책사업</t>
  </si>
  <si>
    <t>단위사업</t>
  </si>
  <si>
    <t>세부사업</t>
  </si>
  <si>
    <t>세부항목</t>
  </si>
  <si>
    <t>산출내역</t>
  </si>
  <si>
    <t>원가통계비목</t>
  </si>
  <si>
    <t>예산현액(A)</t>
  </si>
  <si>
    <t>추경</t>
  </si>
  <si>
    <t>정산재원</t>
  </si>
  <si>
    <r>
      <rPr>
        <sz val="9"/>
        <rFont val="Dotum"/>
        <family val="3"/>
        <charset val="129"/>
      </rPr>
      <t>인적자원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운용</t>
    </r>
  </si>
  <si>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역량강화</t>
    </r>
  </si>
  <si>
    <r>
      <rPr>
        <sz val="9"/>
        <rFont val="Dotum"/>
        <family val="3"/>
        <charset val="129"/>
      </rPr>
      <t>교직원역량강화</t>
    </r>
  </si>
  <si>
    <r>
      <rPr>
        <sz val="9"/>
        <rFont val="Dotum"/>
        <family val="3"/>
        <charset val="129"/>
      </rPr>
      <t>교직원복지비</t>
    </r>
  </si>
  <si>
    <r>
      <rPr>
        <sz val="9"/>
        <rFont val="Dotum"/>
        <family val="3"/>
        <charset val="129"/>
      </rPr>
      <t>교육운영비</t>
    </r>
  </si>
  <si>
    <r>
      <rPr>
        <sz val="9"/>
        <rFont val="Dotum"/>
        <family val="3"/>
        <charset val="129"/>
      </rPr>
      <t>일반업무추진비</t>
    </r>
  </si>
  <si>
    <r>
      <rPr>
        <sz val="9"/>
        <rFont val="Dotum"/>
        <family val="3"/>
        <charset val="129"/>
      </rPr>
      <t>일반수용비</t>
    </r>
  </si>
  <si>
    <t>교직원역량강화 합계</t>
  </si>
  <si>
    <r>
      <rPr>
        <sz val="9"/>
        <rFont val="Dotum"/>
        <family val="3"/>
        <charset val="129"/>
      </rPr>
      <t>교직원복지</t>
    </r>
  </si>
  <si>
    <r>
      <rPr>
        <sz val="9"/>
        <rFont val="Dotum"/>
        <family val="3"/>
        <charset val="129"/>
      </rPr>
      <t>교직원맞춤형복지비</t>
    </r>
  </si>
  <si>
    <r>
      <rPr>
        <sz val="9"/>
        <rFont val="Dotum"/>
        <family val="3"/>
        <charset val="129"/>
      </rPr>
      <t>맞춤형복지비</t>
    </r>
  </si>
  <si>
    <t>교직원복지 합계</t>
  </si>
  <si>
    <r>
      <rPr>
        <sz val="9"/>
        <rFont val="Dotum"/>
        <family val="3"/>
        <charset val="129"/>
      </rPr>
      <t>기타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교직원보수</t>
    </r>
  </si>
  <si>
    <r>
      <rPr>
        <sz val="9"/>
        <rFont val="Dotum"/>
        <family val="3"/>
        <charset val="129"/>
      </rPr>
      <t>교직원대체인건비</t>
    </r>
  </si>
  <si>
    <r>
      <rPr>
        <sz val="9"/>
        <rFont val="Dotum"/>
        <family val="3"/>
        <charset val="129"/>
      </rPr>
      <t>교원대체인건비</t>
    </r>
  </si>
  <si>
    <r>
      <rPr>
        <sz val="9"/>
        <rFont val="Dotum"/>
        <family val="3"/>
        <charset val="129"/>
      </rPr>
      <t>기간제교원법정부담금</t>
    </r>
  </si>
  <si>
    <r>
      <rPr>
        <sz val="9"/>
        <rFont val="Dotum"/>
        <family val="3"/>
        <charset val="129"/>
      </rPr>
      <t>운영수당</t>
    </r>
  </si>
  <si>
    <t>교직원대체인건비 합계</t>
  </si>
  <si>
    <r>
      <rPr>
        <sz val="9"/>
        <rFont val="Dotum"/>
        <family val="3"/>
        <charset val="129"/>
      </rPr>
      <t>학생복지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교육격차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해소</t>
    </r>
  </si>
  <si>
    <r>
      <rPr>
        <sz val="9"/>
        <rFont val="Dotum"/>
        <family val="3"/>
        <charset val="129"/>
      </rPr>
      <t>학교급식운영</t>
    </r>
  </si>
  <si>
    <r>
      <rPr>
        <sz val="9"/>
        <rFont val="Dotum"/>
        <family val="3"/>
        <charset val="129"/>
      </rPr>
      <t>급식운영비</t>
    </r>
  </si>
  <si>
    <r>
      <rPr>
        <sz val="9"/>
        <rFont val="Dotum"/>
        <family val="3"/>
        <charset val="129"/>
      </rPr>
      <t>연료비</t>
    </r>
  </si>
  <si>
    <r>
      <rPr>
        <sz val="9"/>
        <rFont val="Dotum"/>
        <family val="3"/>
        <charset val="129"/>
      </rPr>
      <t>비품구입비</t>
    </r>
  </si>
  <si>
    <r>
      <rPr>
        <sz val="9"/>
        <rFont val="Dotum"/>
        <family val="3"/>
        <charset val="129"/>
      </rPr>
      <t>급식용식재료비</t>
    </r>
  </si>
  <si>
    <r>
      <rPr>
        <sz val="9"/>
        <rFont val="Dotum"/>
        <family val="3"/>
        <charset val="129"/>
      </rPr>
      <t>보건관리</t>
    </r>
  </si>
  <si>
    <r>
      <rPr>
        <sz val="9"/>
        <rFont val="Dotum"/>
        <family val="3"/>
        <charset val="129"/>
      </rPr>
      <t>학생복지비</t>
    </r>
  </si>
  <si>
    <r>
      <rPr>
        <sz val="9"/>
        <rFont val="Dotum"/>
        <family val="3"/>
        <charset val="129"/>
      </rPr>
      <t>학생건강검사</t>
    </r>
  </si>
  <si>
    <r>
      <rPr>
        <sz val="9"/>
        <rFont val="Dotum"/>
        <family val="3"/>
        <charset val="129"/>
      </rPr>
      <t>보건실운영</t>
    </r>
  </si>
  <si>
    <r>
      <rPr>
        <sz val="9"/>
        <rFont val="Dotum"/>
        <family val="3"/>
        <charset val="129"/>
      </rPr>
      <t>보건교육</t>
    </r>
  </si>
  <si>
    <r>
      <rPr>
        <sz val="9"/>
        <rFont val="Dotum"/>
        <family val="3"/>
        <charset val="129"/>
      </rPr>
      <t>학교환경위생관리</t>
    </r>
  </si>
  <si>
    <r>
      <rPr>
        <sz val="9"/>
        <rFont val="Dotum"/>
        <family val="3"/>
        <charset val="129"/>
      </rPr>
      <t>공기질관리</t>
    </r>
  </si>
  <si>
    <r>
      <rPr>
        <sz val="9"/>
        <rFont val="Dotum"/>
        <family val="3"/>
        <charset val="129"/>
      </rPr>
      <t>방역관리</t>
    </r>
  </si>
  <si>
    <t>학교환경위생관리 합계</t>
  </si>
  <si>
    <r>
      <rPr>
        <sz val="9"/>
        <rFont val="Dotum"/>
        <family val="3"/>
        <charset val="129"/>
      </rPr>
      <t>학생복지</t>
    </r>
  </si>
  <si>
    <r>
      <rPr>
        <sz val="9"/>
        <rFont val="Dotum"/>
        <family val="3"/>
        <charset val="129"/>
      </rPr>
      <t>교육복지우선</t>
    </r>
  </si>
  <si>
    <r>
      <rPr>
        <sz val="9"/>
        <rFont val="Dotum"/>
        <family val="3"/>
        <charset val="129"/>
      </rPr>
      <t>여비</t>
    </r>
  </si>
  <si>
    <r>
      <rPr>
        <sz val="9"/>
        <rFont val="Dotum"/>
        <family val="3"/>
        <charset val="129"/>
      </rPr>
      <t>학생복지운영</t>
    </r>
  </si>
  <si>
    <t>학생복지운영 합계</t>
  </si>
  <si>
    <r>
      <rPr>
        <sz val="9"/>
        <rFont val="Dotum"/>
        <family val="3"/>
        <charset val="129"/>
      </rPr>
      <t>기본적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교육활동</t>
    </r>
  </si>
  <si>
    <r>
      <rPr>
        <sz val="9"/>
        <rFont val="Dotum"/>
        <family val="3"/>
        <charset val="129"/>
      </rPr>
      <t>교과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</si>
  <si>
    <r>
      <rPr>
        <sz val="9"/>
        <rFont val="Dotum"/>
        <family val="3"/>
        <charset val="129"/>
      </rPr>
      <t>학습준비물구입</t>
    </r>
  </si>
  <si>
    <r>
      <rPr>
        <sz val="9"/>
        <rFont val="Dotum"/>
        <family val="3"/>
        <charset val="129"/>
      </rPr>
      <t>학습준비물</t>
    </r>
  </si>
  <si>
    <r>
      <rPr>
        <sz val="9"/>
        <rFont val="Dotum"/>
        <family val="3"/>
        <charset val="129"/>
      </rPr>
      <t>보결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대강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수업관리</t>
    </r>
  </si>
  <si>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교과활동</t>
    </r>
  </si>
  <si>
    <r>
      <rPr>
        <sz val="9"/>
        <rFont val="Dotum"/>
        <family val="3"/>
        <charset val="129"/>
      </rPr>
      <t>교과운영</t>
    </r>
  </si>
  <si>
    <r>
      <rPr>
        <sz val="9"/>
        <rFont val="Dotum"/>
        <family val="3"/>
        <charset val="129"/>
      </rPr>
      <t>체육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교과활동</t>
    </r>
  </si>
  <si>
    <r>
      <rPr>
        <sz val="9"/>
        <rFont val="Dotum"/>
        <family val="3"/>
        <charset val="129"/>
      </rPr>
      <t>특수교육교과활동</t>
    </r>
  </si>
  <si>
    <t>특수교육교과활동 합계</t>
  </si>
  <si>
    <r>
      <rPr>
        <sz val="9"/>
        <rFont val="Dotum"/>
        <family val="3"/>
        <charset val="129"/>
      </rPr>
      <t>창의적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체험활동</t>
    </r>
  </si>
  <si>
    <r>
      <rPr>
        <sz val="9"/>
        <rFont val="Dotum"/>
        <family val="3"/>
        <charset val="129"/>
      </rPr>
      <t>학생참여예산제</t>
    </r>
  </si>
  <si>
    <r>
      <rPr>
        <sz val="9"/>
        <rFont val="Dotum"/>
        <family val="3"/>
        <charset val="129"/>
      </rPr>
      <t>현장체험학습활동</t>
    </r>
  </si>
  <si>
    <r>
      <rPr>
        <sz val="9"/>
        <rFont val="Dotum"/>
        <family val="3"/>
        <charset val="129"/>
      </rPr>
      <t>선택적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교육활동</t>
    </r>
  </si>
  <si>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</si>
  <si>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방과후학교운영</t>
    </r>
  </si>
  <si>
    <r>
      <rPr>
        <sz val="9"/>
        <rFont val="Dotum"/>
        <family val="3"/>
        <charset val="129"/>
      </rPr>
      <t>돌봄교실운영</t>
    </r>
  </si>
  <si>
    <r>
      <rPr>
        <sz val="9"/>
        <rFont val="Dotum"/>
        <family val="3"/>
        <charset val="129"/>
      </rPr>
      <t>목적사업업무추진비</t>
    </r>
  </si>
  <si>
    <r>
      <rPr>
        <sz val="9"/>
        <rFont val="Dotum"/>
        <family val="3"/>
        <charset val="129"/>
      </rPr>
      <t>독서활동운영</t>
    </r>
  </si>
  <si>
    <r>
      <rPr>
        <sz val="9"/>
        <rFont val="Dotum"/>
        <family val="3"/>
        <charset val="129"/>
      </rPr>
      <t>도서구입비</t>
    </r>
  </si>
  <si>
    <r>
      <rPr>
        <sz val="9"/>
        <rFont val="Dotum"/>
        <family val="3"/>
        <charset val="129"/>
      </rPr>
      <t>도서관운영</t>
    </r>
  </si>
  <si>
    <r>
      <rPr>
        <sz val="9"/>
        <rFont val="Dotum"/>
        <family val="3"/>
        <charset val="129"/>
      </rPr>
      <t>교육활동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</si>
  <si>
    <r>
      <rPr>
        <sz val="9"/>
        <rFont val="Dotum"/>
        <family val="3"/>
        <charset val="129"/>
      </rPr>
      <t>교무업무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</si>
  <si>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교무학사운영</t>
    </r>
  </si>
  <si>
    <t>교무학사운영 합계</t>
  </si>
  <si>
    <r>
      <rPr>
        <sz val="9"/>
        <rFont val="Dotum"/>
        <family val="3"/>
        <charset val="129"/>
      </rPr>
      <t>연구학교운영</t>
    </r>
  </si>
  <si>
    <r>
      <rPr>
        <sz val="9"/>
        <rFont val="Dotum"/>
        <family val="3"/>
        <charset val="129"/>
      </rPr>
      <t>학습지원실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</si>
  <si>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방송실운영</t>
    </r>
  </si>
  <si>
    <r>
      <rPr>
        <sz val="9"/>
        <rFont val="Dotum"/>
        <family val="3"/>
        <charset val="129"/>
      </rPr>
      <t>정보화실운영</t>
    </r>
  </si>
  <si>
    <r>
      <rPr>
        <sz val="9"/>
        <rFont val="Dotum"/>
        <family val="3"/>
        <charset val="129"/>
      </rPr>
      <t>학교정보화지원</t>
    </r>
  </si>
  <si>
    <t>정보화실운영 합계</t>
  </si>
  <si>
    <r>
      <rPr>
        <sz val="9"/>
        <rFont val="Dotum"/>
        <family val="3"/>
        <charset val="129"/>
      </rPr>
      <t>교육여건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개선</t>
    </r>
  </si>
  <si>
    <r>
      <rPr>
        <sz val="9"/>
        <rFont val="Dotum"/>
        <family val="3"/>
        <charset val="129"/>
      </rPr>
      <t>교육환경개선</t>
    </r>
  </si>
  <si>
    <t>교육환경개선 합계</t>
  </si>
  <si>
    <r>
      <rPr>
        <sz val="9"/>
        <rFont val="Dotum"/>
        <family val="3"/>
        <charset val="129"/>
      </rPr>
      <t>생활지도운영</t>
    </r>
  </si>
  <si>
    <r>
      <rPr>
        <sz val="9"/>
        <rFont val="Dotum"/>
        <family val="3"/>
        <charset val="129"/>
      </rPr>
      <t>상담실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위클래스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운영비</t>
    </r>
  </si>
  <si>
    <r>
      <rPr>
        <sz val="9"/>
        <rFont val="Dotum"/>
        <family val="3"/>
        <charset val="129"/>
      </rPr>
      <t>학교폭력예방</t>
    </r>
  </si>
  <si>
    <r>
      <rPr>
        <sz val="9"/>
        <rFont val="Dotum"/>
        <family val="3"/>
        <charset val="129"/>
      </rPr>
      <t>학생안전교육</t>
    </r>
  </si>
  <si>
    <t>학생안전교육 합계</t>
  </si>
  <si>
    <r>
      <rPr>
        <sz val="9"/>
        <rFont val="Dotum"/>
        <family val="3"/>
        <charset val="129"/>
      </rPr>
      <t>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일반운영</t>
    </r>
  </si>
  <si>
    <r>
      <rPr>
        <sz val="9"/>
        <rFont val="Dotum"/>
        <family val="3"/>
        <charset val="129"/>
      </rPr>
      <t>학교시설장비유지</t>
    </r>
  </si>
  <si>
    <r>
      <rPr>
        <sz val="9"/>
        <rFont val="Dotum"/>
        <family val="3"/>
        <charset val="129"/>
      </rPr>
      <t>공공요금및제세공과금</t>
    </r>
  </si>
  <si>
    <r>
      <rPr>
        <sz val="9"/>
        <rFont val="Dotum"/>
        <family val="3"/>
        <charset val="129"/>
      </rPr>
      <t>전기요금</t>
    </r>
  </si>
  <si>
    <r>
      <rPr>
        <sz val="9"/>
        <rFont val="Dotum"/>
        <family val="3"/>
        <charset val="129"/>
      </rPr>
      <t>상하수도료</t>
    </r>
  </si>
  <si>
    <r>
      <rPr>
        <sz val="9"/>
        <rFont val="Dotum"/>
        <family val="3"/>
        <charset val="129"/>
      </rPr>
      <t>전화요금</t>
    </r>
  </si>
  <si>
    <r>
      <rPr>
        <sz val="9"/>
        <rFont val="Dotum"/>
        <family val="3"/>
        <charset val="129"/>
      </rPr>
      <t>기타공공요금</t>
    </r>
  </si>
  <si>
    <r>
      <rPr>
        <sz val="9"/>
        <rFont val="Dotum"/>
        <family val="3"/>
        <charset val="129"/>
      </rPr>
      <t>우편요금</t>
    </r>
  </si>
  <si>
    <r>
      <rPr>
        <sz val="9"/>
        <rFont val="Dotum"/>
        <family val="3"/>
        <charset val="129"/>
      </rPr>
      <t>시설관리용역</t>
    </r>
  </si>
  <si>
    <r>
      <rPr>
        <sz val="9"/>
        <rFont val="Dotum"/>
        <family val="3"/>
        <charset val="129"/>
      </rPr>
      <t>시설일반관리</t>
    </r>
  </si>
  <si>
    <r>
      <rPr>
        <sz val="9"/>
        <rFont val="Dotum"/>
        <family val="3"/>
        <charset val="129"/>
      </rPr>
      <t>화장실관리</t>
    </r>
  </si>
  <si>
    <r>
      <rPr>
        <sz val="9"/>
        <rFont val="Dotum"/>
        <family val="3"/>
        <charset val="129"/>
      </rPr>
      <t>당직관리</t>
    </r>
  </si>
  <si>
    <r>
      <rPr>
        <sz val="9"/>
        <rFont val="Dotum"/>
        <family val="3"/>
        <charset val="129"/>
      </rPr>
      <t>학교운영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협력</t>
    </r>
  </si>
  <si>
    <r>
      <rPr>
        <sz val="9"/>
        <rFont val="Dotum"/>
        <family val="3"/>
        <charset val="129"/>
      </rPr>
      <t>학교운영위원회운영</t>
    </r>
  </si>
  <si>
    <t>학교운영위원회운영 합계</t>
  </si>
  <si>
    <r>
      <rPr>
        <sz val="9"/>
        <rFont val="Dotum"/>
        <family val="3"/>
        <charset val="129"/>
      </rPr>
      <t>학부모협력</t>
    </r>
  </si>
  <si>
    <t>학부모협력 합계</t>
  </si>
  <si>
    <r>
      <rPr>
        <sz val="9"/>
        <rFont val="Dotum"/>
        <family val="3"/>
        <charset val="129"/>
      </rPr>
      <t>학교기관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</si>
  <si>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부서기본운영</t>
    </r>
  </si>
  <si>
    <r>
      <rPr>
        <sz val="9"/>
        <rFont val="Dotum"/>
        <family val="3"/>
        <charset val="129"/>
      </rPr>
      <t>교장실운영</t>
    </r>
  </si>
  <si>
    <r>
      <rPr>
        <sz val="9"/>
        <rFont val="Dotum"/>
        <family val="3"/>
        <charset val="129"/>
      </rPr>
      <t>직책급업무추진비</t>
    </r>
  </si>
  <si>
    <r>
      <rPr>
        <sz val="9"/>
        <rFont val="Dotum"/>
        <family val="3"/>
        <charset val="129"/>
      </rPr>
      <t>직책급업무수행경비</t>
    </r>
  </si>
  <si>
    <r>
      <rPr>
        <sz val="9"/>
        <rFont val="Dotum"/>
        <family val="3"/>
        <charset val="129"/>
      </rPr>
      <t>행정실운영</t>
    </r>
  </si>
  <si>
    <r>
      <rPr>
        <sz val="9"/>
        <rFont val="Dotum"/>
        <family val="3"/>
        <charset val="129"/>
      </rPr>
      <t>행정지원인력운용</t>
    </r>
  </si>
  <si>
    <r>
      <rPr>
        <b/>
        <sz val="9"/>
        <rFont val="Dotum"/>
        <family val="3"/>
        <charset val="129"/>
      </rPr>
      <t>총합계</t>
    </r>
  </si>
  <si>
    <r>
      <rPr>
        <b/>
        <sz val="9"/>
        <rFont val="Dotum"/>
        <family val="3"/>
        <charset val="129"/>
      </rPr>
      <t>세부항목담당자</t>
    </r>
  </si>
  <si>
    <r>
      <rPr>
        <sz val="9"/>
        <rFont val="Dotum"/>
        <family val="3"/>
        <charset val="129"/>
      </rPr>
      <t>직무연수</t>
    </r>
  </si>
  <si>
    <r>
      <rPr>
        <sz val="9"/>
        <rFont val="Dotum"/>
        <family val="3"/>
        <charset val="129"/>
      </rPr>
      <t>교원자비부담연수비</t>
    </r>
  </si>
  <si>
    <r>
      <rPr>
        <sz val="9"/>
        <rFont val="Dotum"/>
        <family val="3"/>
        <charset val="129"/>
      </rPr>
      <t>자율연수</t>
    </r>
  </si>
  <si>
    <r>
      <rPr>
        <sz val="9"/>
        <rFont val="Dotum"/>
        <family val="3"/>
        <charset val="129"/>
      </rPr>
      <t>교원학습공동체</t>
    </r>
  </si>
  <si>
    <r>
      <rPr>
        <sz val="9"/>
        <rFont val="Dotum"/>
        <family val="3"/>
        <charset val="129"/>
      </rPr>
      <t>공개수업</t>
    </r>
  </si>
  <si>
    <r>
      <rPr>
        <sz val="9"/>
        <rFont val="Dotum"/>
        <family val="3"/>
        <charset val="129"/>
      </rPr>
      <t>교직원생일기념경비</t>
    </r>
  </si>
  <si>
    <r>
      <rPr>
        <sz val="9"/>
        <rFont val="Dotum"/>
        <family val="3"/>
        <charset val="129"/>
      </rPr>
      <t>교직원문화행사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</si>
  <si>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교육공무직대체인건비</t>
    </r>
  </si>
  <si>
    <r>
      <rPr>
        <sz val="9"/>
        <rFont val="Dotum"/>
        <family val="3"/>
        <charset val="129"/>
      </rPr>
      <t>기간제근로자인건비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</si>
  <si>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공립학교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시간강사수당</t>
    </r>
  </si>
  <si>
    <r>
      <rPr>
        <sz val="9"/>
        <rFont val="Dotum"/>
        <family val="3"/>
        <charset val="129"/>
      </rPr>
      <t>기간제교원인건비</t>
    </r>
  </si>
  <si>
    <r>
      <rPr>
        <sz val="9"/>
        <rFont val="Dotum"/>
        <family val="3"/>
        <charset val="129"/>
      </rPr>
      <t>조리원인건비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</si>
  <si>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급식보조인력인건비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</si>
  <si>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학생무상급식비</t>
    </r>
  </si>
  <si>
    <r>
      <t>(</t>
    </r>
    <r>
      <rPr>
        <sz val="9"/>
        <rFont val="Dotum"/>
        <family val="3"/>
        <charset val="129"/>
      </rPr>
      <t>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교직원급식비</t>
    </r>
  </si>
  <si>
    <r>
      <t>(</t>
    </r>
    <r>
      <rPr>
        <sz val="9"/>
        <rFont val="Dotum"/>
        <family val="3"/>
        <charset val="129"/>
      </rPr>
      <t>타학교전입금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유치원급식비</t>
    </r>
  </si>
  <si>
    <r>
      <t>(</t>
    </r>
    <r>
      <rPr>
        <sz val="9"/>
        <rFont val="Dotum"/>
        <family val="3"/>
        <charset val="129"/>
      </rPr>
      <t>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친환경쌀지원금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</si>
  <si>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식기류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</si>
  <si>
    <r>
      <t>[</t>
    </r>
    <r>
      <rPr>
        <sz val="9"/>
        <rFont val="Dotum"/>
        <family val="3"/>
        <charset val="129"/>
      </rPr>
      <t>국고</t>
    </r>
    <r>
      <rPr>
        <sz val="9"/>
        <rFont val="gulim,Verdana"/>
        <family val="2"/>
      </rPr>
      <t>]</t>
    </r>
    <r>
      <rPr>
        <sz val="9"/>
        <rFont val="Dotum"/>
        <family val="3"/>
        <charset val="129"/>
      </rPr>
      <t>학생및교직원보건안전관리</t>
    </r>
  </si>
  <si>
    <r>
      <rPr>
        <sz val="9"/>
        <rFont val="Dotum"/>
        <family val="3"/>
        <charset val="129"/>
      </rPr>
      <t>월경권보호</t>
    </r>
  </si>
  <si>
    <r>
      <rPr>
        <sz val="9"/>
        <rFont val="Dotum"/>
        <family val="3"/>
        <charset val="129"/>
      </rPr>
      <t>산업안전보건관리</t>
    </r>
  </si>
  <si>
    <r>
      <rPr>
        <sz val="9"/>
        <rFont val="Dotum"/>
        <family val="3"/>
        <charset val="129"/>
      </rPr>
      <t>교직원건강검사</t>
    </r>
  </si>
  <si>
    <r>
      <rPr>
        <sz val="9"/>
        <rFont val="Dotum"/>
        <family val="3"/>
        <charset val="129"/>
      </rPr>
      <t>교직원결핵검사비</t>
    </r>
  </si>
  <si>
    <r>
      <t>[</t>
    </r>
    <r>
      <rPr>
        <sz val="9"/>
        <rFont val="Dotum"/>
        <family val="3"/>
        <charset val="129"/>
      </rPr>
      <t>국고</t>
    </r>
    <r>
      <rPr>
        <sz val="9"/>
        <rFont val="gulim,Verdana"/>
        <family val="2"/>
      </rPr>
      <t>]</t>
    </r>
    <r>
      <rPr>
        <sz val="9"/>
        <rFont val="Dotum"/>
        <family val="3"/>
        <charset val="129"/>
      </rPr>
      <t>학교흡연예방실천학교운영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</si>
  <si>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</si>
  <si>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렌탈비</t>
    </r>
  </si>
  <si>
    <r>
      <rPr>
        <sz val="9"/>
        <rFont val="Dotum"/>
        <family val="3"/>
        <charset val="129"/>
      </rPr>
      <t>청소용역비지원</t>
    </r>
  </si>
  <si>
    <r>
      <rPr>
        <sz val="9"/>
        <rFont val="Dotum"/>
        <family val="3"/>
        <charset val="129"/>
      </rPr>
      <t>교육복지우선지원운영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</si>
  <si>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서울희망교실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</si>
  <si>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교육복지사업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운영비</t>
    </r>
  </si>
  <si>
    <r>
      <rPr>
        <sz val="9"/>
        <rFont val="Dotum"/>
        <family val="3"/>
        <charset val="129"/>
      </rPr>
      <t>학생교과서구입</t>
    </r>
  </si>
  <si>
    <r>
      <rPr>
        <sz val="9"/>
        <rFont val="Dotum"/>
        <family val="3"/>
        <charset val="129"/>
      </rPr>
      <t>통학차량운영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임차료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지원</t>
    </r>
  </si>
  <si>
    <r>
      <rPr>
        <sz val="9"/>
        <rFont val="Dotum"/>
        <family val="3"/>
        <charset val="129"/>
      </rPr>
      <t>교과활동지원</t>
    </r>
  </si>
  <si>
    <r>
      <rPr>
        <sz val="9"/>
        <rFont val="Dotum"/>
        <family val="3"/>
        <charset val="129"/>
      </rPr>
      <t>보결수업수당</t>
    </r>
  </si>
  <si>
    <r>
      <rPr>
        <sz val="9"/>
        <rFont val="Dotum"/>
        <family val="3"/>
        <charset val="129"/>
      </rPr>
      <t>학생참여형수업지원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</si>
  <si>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>(1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>)</t>
    </r>
  </si>
  <si>
    <r>
      <t>(</t>
    </r>
    <r>
      <rPr>
        <sz val="9"/>
        <rFont val="Dotum"/>
        <family val="3"/>
        <charset val="129"/>
      </rPr>
      <t>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문예체활동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인성교육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</si>
  <si>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기초학력보장체계구축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</si>
  <si>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협력강사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</si>
  <si>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기간제근로자법정부담금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</si>
  <si>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기초학력책임교육학년운영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</si>
  <si>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</si>
  <si>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>(2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</si>
  <si>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과학실안전지원</t>
    </r>
  </si>
  <si>
    <r>
      <rPr>
        <sz val="9"/>
        <rFont val="Dotum"/>
        <family val="3"/>
        <charset val="129"/>
      </rPr>
      <t>교재원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</si>
  <si>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초등수영교육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</si>
  <si>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3~8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사업비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</si>
  <si>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처우개선수당</t>
    </r>
  </si>
  <si>
    <r>
      <rPr>
        <sz val="9"/>
        <rFont val="Dotum"/>
        <family val="3"/>
        <charset val="129"/>
      </rPr>
      <t>예술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교과활동</t>
    </r>
  </si>
  <si>
    <r>
      <rPr>
        <sz val="9"/>
        <rFont val="Dotum"/>
        <family val="3"/>
        <charset val="129"/>
      </rPr>
      <t>초등예술하나</t>
    </r>
  </si>
  <si>
    <r>
      <t>(</t>
    </r>
    <r>
      <rPr>
        <sz val="9"/>
        <rFont val="Dotum"/>
        <family val="3"/>
        <charset val="129"/>
      </rPr>
      <t>보</t>
    </r>
    <r>
      <rPr>
        <sz val="9"/>
        <rFont val="gulim,Verdana"/>
        <family val="2"/>
      </rPr>
      <t>)1</t>
    </r>
    <r>
      <rPr>
        <sz val="9"/>
        <rFont val="Dotum"/>
        <family val="3"/>
        <charset val="129"/>
      </rPr>
      <t>인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악기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</si>
  <si>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장애학생학습도우미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</si>
  <si>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특수교육대상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</si>
  <si>
    <r>
      <rPr>
        <sz val="9"/>
        <rFont val="Dotum"/>
        <family val="3"/>
        <charset val="129"/>
      </rPr>
      <t>특수학급운영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</si>
  <si>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늘봄특수학급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선택형교육프로그램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</si>
  <si>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특수교육대상자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학습보조기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보조공학기기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지원운영비</t>
    </r>
  </si>
  <si>
    <r>
      <rPr>
        <sz val="9"/>
        <rFont val="Dotum"/>
        <family val="3"/>
        <charset val="129"/>
      </rPr>
      <t>자율</t>
    </r>
    <r>
      <rPr>
        <sz val="9"/>
        <rFont val="gulim,Verdana"/>
        <family val="2"/>
      </rPr>
      <t>·</t>
    </r>
    <r>
      <rPr>
        <sz val="9"/>
        <rFont val="Dotum"/>
        <family val="3"/>
        <charset val="129"/>
      </rPr>
      <t>자치활동</t>
    </r>
  </si>
  <si>
    <r>
      <rPr>
        <sz val="9"/>
        <rFont val="Dotum"/>
        <family val="3"/>
        <charset val="129"/>
      </rPr>
      <t>학급운영비</t>
    </r>
  </si>
  <si>
    <r>
      <rPr>
        <sz val="9"/>
        <rFont val="Dotum"/>
        <family val="3"/>
        <charset val="129"/>
      </rPr>
      <t>교육과정자율운영</t>
    </r>
  </si>
  <si>
    <r>
      <t>(</t>
    </r>
    <r>
      <rPr>
        <sz val="9"/>
        <rFont val="Dotum"/>
        <family val="3"/>
        <charset val="129"/>
      </rPr>
      <t>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방과후학교수익자부담금</t>
    </r>
  </si>
  <si>
    <r>
      <t>(</t>
    </r>
    <r>
      <rPr>
        <sz val="9"/>
        <rFont val="Dotum"/>
        <family val="3"/>
        <charset val="129"/>
      </rPr>
      <t>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다자녀방과후학교지원금</t>
    </r>
  </si>
  <si>
    <r>
      <rPr>
        <sz val="9"/>
        <rFont val="Dotum"/>
        <family val="3"/>
        <charset val="129"/>
      </rPr>
      <t>늘봄학교운영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</si>
  <si>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오후돌봄운영비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</si>
  <si>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틈새돌봄운영비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</si>
  <si>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아침늘봄학교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</si>
  <si>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선택형교육프로그램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</si>
  <si>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</si>
  <si>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늘봄학교운영비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</si>
  <si>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맞춤형프로그램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</si>
  <si>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맞춤형프로그램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여건개선운영비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</si>
  <si>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자유수강권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</si>
  <si>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시간제돌봄전담사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맞춤형복지비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</si>
  <si>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</si>
  <si>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급식비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지원</t>
    </r>
  </si>
  <si>
    <r>
      <rPr>
        <sz val="9"/>
        <rFont val="Dotum"/>
        <family val="3"/>
        <charset val="129"/>
      </rPr>
      <t>서울형독서토론수업운영</t>
    </r>
  </si>
  <si>
    <r>
      <rPr>
        <sz val="9"/>
        <rFont val="Dotum"/>
        <family val="3"/>
        <charset val="129"/>
      </rPr>
      <t>학부모문자서비스</t>
    </r>
  </si>
  <si>
    <r>
      <rPr>
        <sz val="9"/>
        <rFont val="Dotum"/>
        <family val="3"/>
        <charset val="129"/>
      </rPr>
      <t>입학식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졸업식</t>
    </r>
  </si>
  <si>
    <r>
      <rPr>
        <sz val="9"/>
        <rFont val="Dotum"/>
        <family val="3"/>
        <charset val="129"/>
      </rPr>
      <t>졸업상품구입</t>
    </r>
  </si>
  <si>
    <r>
      <rPr>
        <sz val="9"/>
        <rFont val="Dotum"/>
        <family val="3"/>
        <charset val="129"/>
      </rPr>
      <t>교육과정평가</t>
    </r>
  </si>
  <si>
    <r>
      <rPr>
        <sz val="9"/>
        <rFont val="Dotum"/>
        <family val="3"/>
        <charset val="129"/>
      </rPr>
      <t>교육지원팀수업경감강사비</t>
    </r>
  </si>
  <si>
    <r>
      <rPr>
        <sz val="9"/>
        <rFont val="Dotum"/>
        <family val="3"/>
        <charset val="129"/>
      </rPr>
      <t>혁신학교운영</t>
    </r>
  </si>
  <si>
    <r>
      <rPr>
        <sz val="9"/>
        <rFont val="Dotum"/>
        <family val="3"/>
        <charset val="129"/>
      </rPr>
      <t>방송장비구입</t>
    </r>
  </si>
  <si>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프린터기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</si>
  <si>
    <r>
      <rPr>
        <sz val="9"/>
        <rFont val="Dotum"/>
        <family val="3"/>
        <charset val="129"/>
      </rPr>
      <t>학내망관리</t>
    </r>
  </si>
  <si>
    <r>
      <rPr>
        <sz val="9"/>
        <rFont val="Dotum"/>
        <family val="3"/>
        <charset val="129"/>
      </rPr>
      <t>학내망유지보수용역료</t>
    </r>
  </si>
  <si>
    <r>
      <rPr>
        <sz val="9"/>
        <rFont val="Dotum"/>
        <family val="3"/>
        <charset val="129"/>
      </rPr>
      <t>교실환경개선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</si>
  <si>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학교시설환경개선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</si>
  <si>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일반형</t>
    </r>
    <r>
      <rPr>
        <sz val="9"/>
        <rFont val="gulim,Verdana"/>
        <family val="2"/>
      </rPr>
      <t>CCTV(</t>
    </r>
    <r>
      <rPr>
        <sz val="9"/>
        <rFont val="Dotum"/>
        <family val="3"/>
        <charset val="129"/>
      </rPr>
      <t>공모형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설치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  <r>
      <rPr>
        <sz val="9"/>
        <rFont val="gulim,Verdana"/>
        <family val="2"/>
      </rPr>
      <t xml:space="preserve"> </t>
    </r>
  </si>
  <si>
    <r>
      <rPr>
        <sz val="9"/>
        <rFont val="Dotum"/>
        <family val="3"/>
        <charset val="129"/>
      </rPr>
      <t>학생생활상담지도</t>
    </r>
  </si>
  <si>
    <r>
      <rPr>
        <sz val="9"/>
        <rFont val="Dotum"/>
        <family val="3"/>
        <charset val="129"/>
      </rPr>
      <t>학교지킴이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배움터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보안관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</si>
  <si>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·</t>
    </r>
    <r>
      <rPr>
        <sz val="9"/>
        <rFont val="Dotum"/>
        <family val="3"/>
        <charset val="129"/>
      </rPr>
      <t>치유프로그램운영비</t>
    </r>
  </si>
  <si>
    <r>
      <rPr>
        <sz val="9"/>
        <rFont val="Dotum"/>
        <family val="3"/>
        <charset val="129"/>
      </rPr>
      <t>교통안전지도</t>
    </r>
  </si>
  <si>
    <r>
      <t>(</t>
    </r>
    <r>
      <rPr>
        <sz val="9"/>
        <rFont val="Dotum"/>
        <family val="3"/>
        <charset val="129"/>
      </rPr>
      <t>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심리정서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지원비</t>
    </r>
  </si>
  <si>
    <r>
      <rPr>
        <sz val="9"/>
        <rFont val="Dotum"/>
        <family val="3"/>
        <charset val="129"/>
      </rPr>
      <t>학교폭력예방지원</t>
    </r>
  </si>
  <si>
    <r>
      <rPr>
        <sz val="9"/>
        <rFont val="Dotum"/>
        <family val="3"/>
        <charset val="129"/>
      </rPr>
      <t>학폭책임교사수업경감지원</t>
    </r>
  </si>
  <si>
    <r>
      <rPr>
        <sz val="9"/>
        <rFont val="Dotum"/>
        <family val="3"/>
        <charset val="129"/>
      </rPr>
      <t>학생안전체험</t>
    </r>
  </si>
  <si>
    <r>
      <rPr>
        <sz val="9"/>
        <rFont val="Dotum"/>
        <family val="3"/>
        <charset val="129"/>
      </rPr>
      <t>기계경비용역료</t>
    </r>
  </si>
  <si>
    <r>
      <rPr>
        <sz val="9"/>
        <rFont val="Dotum"/>
        <family val="3"/>
        <charset val="129"/>
      </rPr>
      <t>놀이시설관리용역료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</si>
  <si>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</si>
  <si>
    <r>
      <rPr>
        <sz val="9"/>
        <rFont val="Dotum"/>
        <family val="3"/>
        <charset val="129"/>
      </rPr>
      <t>학부모회운영</t>
    </r>
  </si>
  <si>
    <r>
      <rPr>
        <sz val="9"/>
        <rFont val="Dotum"/>
        <family val="3"/>
        <charset val="129"/>
      </rPr>
      <t>교직원경조사비</t>
    </r>
  </si>
  <si>
    <r>
      <rPr>
        <sz val="9"/>
        <rFont val="Dotum"/>
        <family val="3"/>
        <charset val="129"/>
      </rPr>
      <t>내빈접대다과비</t>
    </r>
  </si>
  <si>
    <r>
      <rPr>
        <sz val="9"/>
        <rFont val="Dotum"/>
        <family val="3"/>
        <charset val="129"/>
      </rPr>
      <t>교무부운영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</si>
  <si>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장애인근로자인건비</t>
    </r>
  </si>
  <si>
    <t>교과활동지원 합계</t>
  </si>
  <si>
    <t>자율·자치활동 합계</t>
  </si>
  <si>
    <t>제목</t>
  </si>
  <si>
    <t>채주</t>
  </si>
  <si>
    <t>세부사업명</t>
  </si>
  <si>
    <t>세부항목명</t>
  </si>
  <si>
    <t>원가비목</t>
  </si>
  <si>
    <t>지출액</t>
  </si>
  <si>
    <t>KT</t>
  </si>
  <si>
    <t>COMNET</t>
  </si>
  <si>
    <t>H.ORM</t>
  </si>
  <si>
    <t>PADLET</t>
  </si>
  <si>
    <t>THE374</t>
  </si>
  <si>
    <t>지출일자</t>
  </si>
  <si>
    <r>
      <t>(00002)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</si>
  <si>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rPr>
        <sz val="9"/>
        <rFont val="Dotum"/>
        <family val="3"/>
        <charset val="129"/>
      </rPr>
      <t>전인숙</t>
    </r>
  </si>
  <si>
    <r>
      <t>(00034)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학급운영비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교과운영비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개산급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</si>
  <si>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황인영외</t>
    </r>
    <r>
      <rPr>
        <sz val="9"/>
        <rFont val="gulim,Verdana"/>
        <family val="2"/>
      </rPr>
      <t xml:space="preserve"> 48</t>
    </r>
    <r>
      <rPr>
        <sz val="9"/>
        <rFont val="Dotum"/>
        <family val="3"/>
        <charset val="129"/>
      </rPr>
      <t>명</t>
    </r>
  </si>
  <si>
    <r>
      <t xml:space="preserve">(00027) </t>
    </r>
    <r>
      <rPr>
        <sz val="9"/>
        <rFont val="Dotum"/>
        <family val="3"/>
        <charset val="129"/>
      </rPr>
      <t>인쇄기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</si>
  <si>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씨앤아이</t>
    </r>
  </si>
  <si>
    <r>
      <t>(00006)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이알리미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사용료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</si>
  <si>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이웃닷컴</t>
    </r>
  </si>
  <si>
    <r>
      <t xml:space="preserve">(00028)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</si>
  <si>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쿠프</t>
    </r>
  </si>
  <si>
    <r>
      <t>(00042) 5</t>
    </r>
    <r>
      <rPr>
        <sz val="9"/>
        <rFont val="Dotum"/>
        <family val="3"/>
        <charset val="129"/>
      </rPr>
      <t>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전기차단기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</si>
  <si>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지에스아이앤티</t>
    </r>
  </si>
  <si>
    <r>
      <t>(00049)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</si>
  <si>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SK Telecom(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</si>
  <si>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 xml:space="preserve">(00029) </t>
    </r>
    <r>
      <rPr>
        <sz val="9"/>
        <rFont val="Dotum"/>
        <family val="3"/>
        <charset val="129"/>
      </rPr>
      <t>혼합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처리비용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</si>
  <si>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개포사</t>
    </r>
  </si>
  <si>
    <r>
      <t xml:space="preserve">(00005) 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고정유리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</si>
  <si>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금강유리</t>
    </r>
  </si>
  <si>
    <r>
      <t>(00056)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</si>
  <si>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rPr>
        <sz val="9"/>
        <rFont val="Dotum"/>
        <family val="3"/>
        <charset val="129"/>
      </rPr>
      <t>정연재</t>
    </r>
  </si>
  <si>
    <r>
      <t>(00057)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신입생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</si>
  <si>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김형숙</t>
    </r>
  </si>
  <si>
    <r>
      <t>(00058)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</si>
  <si>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박연정</t>
    </r>
  </si>
  <si>
    <r>
      <t>(00036)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</si>
  <si>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사단법인금융결제원</t>
    </r>
  </si>
  <si>
    <r>
      <t>(00008)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</si>
  <si>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에스케이쉴더스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강남지점</t>
    </r>
  </si>
  <si>
    <r>
      <t xml:space="preserve">(00064) </t>
    </r>
    <r>
      <rPr>
        <sz val="9"/>
        <rFont val="Dotum"/>
        <family val="3"/>
        <charset val="129"/>
      </rPr>
      <t>경조사비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</si>
  <si>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성초롱</t>
    </r>
  </si>
  <si>
    <r>
      <t>(00055)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</si>
  <si>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내가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국수다</t>
    </r>
  </si>
  <si>
    <r>
      <t>(00045)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(3/11)</t>
    </r>
  </si>
  <si>
    <r>
      <rPr>
        <sz val="9"/>
        <rFont val="Dotum"/>
        <family val="3"/>
        <charset val="129"/>
      </rPr>
      <t>목포명가</t>
    </r>
  </si>
  <si>
    <r>
      <t>(00046)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</si>
  <si>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네이버파이낸셜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</t>
    </r>
  </si>
  <si>
    <r>
      <t>(00047)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학교생활준비물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</si>
  <si>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경인문구</t>
    </r>
  </si>
  <si>
    <r>
      <t>(00048)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-</t>
    </r>
    <r>
      <rPr>
        <sz val="9"/>
        <rFont val="Dotum"/>
        <family val="3"/>
        <charset val="129"/>
      </rPr>
      <t>칼라점토액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23</t>
    </r>
    <r>
      <rPr>
        <sz val="9"/>
        <rFont val="Dotum"/>
        <family val="3"/>
        <charset val="129"/>
      </rPr>
      <t>건</t>
    </r>
  </si>
  <si>
    <r>
      <t>(00038)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장애인력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</si>
  <si>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쿠팡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</si>
  <si>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(00039)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-_</t>
    </r>
    <r>
      <rPr>
        <sz val="9"/>
        <rFont val="Dotum"/>
        <family val="3"/>
        <charset val="129"/>
      </rPr>
      <t>시트르산용액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건</t>
    </r>
  </si>
  <si>
    <r>
      <rPr>
        <sz val="9"/>
        <rFont val="Dotum"/>
        <family val="3"/>
        <charset val="129"/>
      </rPr>
      <t>아람과학사</t>
    </r>
  </si>
  <si>
    <r>
      <t>(00040)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양초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건</t>
    </r>
  </si>
  <si>
    <r>
      <t>(00041)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3,5,6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학년교육과정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</si>
  <si>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(00043)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종량제봉투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</si>
  <si>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이마트에브리데이</t>
    </r>
  </si>
  <si>
    <r>
      <t>(00024)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학급</t>
    </r>
    <r>
      <rPr>
        <sz val="9"/>
        <rFont val="gulim,Verdana"/>
        <family val="2"/>
      </rPr>
      <t xml:space="preserve"> PC </t>
    </r>
    <r>
      <rPr>
        <sz val="9"/>
        <rFont val="Dotum"/>
        <family val="3"/>
        <charset val="129"/>
      </rPr>
      <t>긴급</t>
    </r>
    <r>
      <rPr>
        <sz val="9"/>
        <rFont val="gulim,Verdana"/>
        <family val="2"/>
      </rPr>
      <t xml:space="preserve"> A/S 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</si>
  <si>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레드서비스</t>
    </r>
  </si>
  <si>
    <r>
      <t>(00030)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호스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</si>
  <si>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(00032)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(3.7)</t>
    </r>
  </si>
  <si>
    <r>
      <t>(00021)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</si>
  <si>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(00022)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장애인식개선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</si>
  <si>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이베이코리아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지마켓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옥션</t>
    </r>
    <r>
      <rPr>
        <sz val="9"/>
        <rFont val="gulim,Verdana"/>
        <family val="2"/>
      </rPr>
      <t>)</t>
    </r>
  </si>
  <si>
    <r>
      <t>(00025)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(3/6)</t>
    </r>
  </si>
  <si>
    <r>
      <t xml:space="preserve">CU </t>
    </r>
    <r>
      <rPr>
        <sz val="9"/>
        <rFont val="Dotum"/>
        <family val="3"/>
        <charset val="129"/>
      </rPr>
      <t>강남율현점</t>
    </r>
  </si>
  <si>
    <r>
      <t>(00026)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학교생활준비물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</si>
  <si>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선경문고</t>
    </r>
  </si>
  <si>
    <r>
      <t>(00003)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</si>
  <si>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(00004)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자석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블록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건</t>
    </r>
  </si>
  <si>
    <r>
      <t>(00020)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(3/5)</t>
    </r>
  </si>
  <si>
    <r>
      <rPr>
        <sz val="9"/>
        <rFont val="Dotum"/>
        <family val="3"/>
        <charset val="129"/>
      </rPr>
      <t>오감만족</t>
    </r>
  </si>
  <si>
    <r>
      <t>(00054)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</si>
  <si>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(00050)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차류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</si>
  <si>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(00051) (3/27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</si>
  <si>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아이스크림미디어</t>
    </r>
  </si>
  <si>
    <r>
      <t xml:space="preserve">(00078) </t>
    </r>
    <r>
      <rPr>
        <sz val="9"/>
        <rFont val="Dotum"/>
        <family val="3"/>
        <charset val="129"/>
      </rPr>
      <t>경조사비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</si>
  <si>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김해원</t>
    </r>
  </si>
  <si>
    <r>
      <t xml:space="preserve">(00079) </t>
    </r>
    <r>
      <rPr>
        <sz val="9"/>
        <rFont val="Dotum"/>
        <family val="3"/>
        <charset val="129"/>
      </rPr>
      <t>경조사비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</si>
  <si>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진지민</t>
    </r>
  </si>
  <si>
    <r>
      <t>(00085)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</si>
  <si>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(00080) 2025. 3~8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생일기념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상품권</t>
    </r>
    <r>
      <rPr>
        <sz val="9"/>
        <rFont val="gulim,Verdana"/>
        <family val="2"/>
      </rPr>
      <t>(S2B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 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</si>
  <si>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블리스비</t>
    </r>
  </si>
  <si>
    <r>
      <t xml:space="preserve">(00060)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이동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</si>
  <si>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피치테크</t>
    </r>
  </si>
  <si>
    <r>
      <t>(00065) (</t>
    </r>
    <r>
      <rPr>
        <sz val="9"/>
        <rFont val="Dotum"/>
        <family val="3"/>
        <charset val="129"/>
      </rPr>
      <t>보건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의약품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</si>
  <si>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이메딕팜넷</t>
    </r>
  </si>
  <si>
    <r>
      <t>(00013)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</si>
  <si>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rPr>
        <sz val="9"/>
        <rFont val="Dotum"/>
        <family val="3"/>
        <charset val="129"/>
      </rPr>
      <t>승리체육산업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</t>
    </r>
  </si>
  <si>
    <r>
      <t>(00009)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</si>
  <si>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 xml:space="preserve">(00063)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국솥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차단기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</si>
  <si>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차버너</t>
    </r>
  </si>
  <si>
    <r>
      <t xml:space="preserve">(00082) </t>
    </r>
    <r>
      <rPr>
        <sz val="9"/>
        <rFont val="Dotum"/>
        <family val="3"/>
        <charset val="129"/>
      </rPr>
      <t>점보롤화장지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</si>
  <si>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서울특별시립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장애인생산품판매시설</t>
    </r>
  </si>
  <si>
    <r>
      <t>(00073)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</si>
  <si>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그린상사</t>
    </r>
  </si>
  <si>
    <r>
      <t>(00015)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</si>
  <si>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미래안전보건주식회사</t>
    </r>
  </si>
  <si>
    <r>
      <t xml:space="preserve">(00100)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</si>
  <si>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신진이앤씨</t>
    </r>
  </si>
  <si>
    <r>
      <t>(00104)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</si>
  <si>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코원에너지서비스</t>
    </r>
  </si>
  <si>
    <r>
      <t>(00103)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</si>
  <si>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KT</t>
    </r>
    <r>
      <rPr>
        <sz val="9"/>
        <rFont val="Dotum"/>
        <family val="3"/>
        <charset val="129"/>
      </rPr>
      <t>스카이라이프</t>
    </r>
  </si>
  <si>
    <r>
      <t>(00105)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</si>
  <si>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(00162)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</si>
  <si>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웅진코웨이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</si>
  <si>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(00102)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조리실무사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대체인력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근무에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(3/25 </t>
    </r>
    <r>
      <rPr>
        <sz val="9"/>
        <rFont val="Dotum"/>
        <family val="3"/>
        <charset val="129"/>
      </rPr>
      <t>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</si>
  <si>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임경민</t>
    </r>
  </si>
  <si>
    <r>
      <t>(00107)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</si>
  <si>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엘지유플러스</t>
    </r>
  </si>
  <si>
    <r>
      <t>(00106)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</si>
  <si>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 xml:space="preserve">(00059) </t>
    </r>
    <r>
      <rPr>
        <sz val="9"/>
        <rFont val="Dotum"/>
        <family val="3"/>
        <charset val="129"/>
      </rPr>
      <t>주차장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벽면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</si>
  <si>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한강이앤씨</t>
    </r>
  </si>
  <si>
    <r>
      <t>(00161)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</si>
  <si>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위닉스</t>
    </r>
  </si>
  <si>
    <r>
      <t>(00076) (4/14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</si>
  <si>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(00117)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(3/26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</si>
  <si>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윤정미</t>
    </r>
  </si>
  <si>
    <r>
      <t>(00012)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</si>
  <si>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rPr>
        <sz val="9"/>
        <rFont val="Dotum"/>
        <family val="3"/>
        <charset val="129"/>
      </rPr>
      <t>하나로엠지엠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</si>
  <si>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(00007)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전기안전관리용역료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</si>
  <si>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누리에프이에스</t>
    </r>
  </si>
  <si>
    <r>
      <t>(00014)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</si>
  <si>
    <r>
      <rPr>
        <sz val="9"/>
        <rFont val="Dotum"/>
        <family val="3"/>
        <charset val="129"/>
      </rPr>
      <t>케이제이비즈텍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</t>
    </r>
  </si>
  <si>
    <r>
      <t>(00011)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</si>
  <si>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rPr>
        <sz val="9"/>
        <rFont val="Dotum"/>
        <family val="3"/>
        <charset val="129"/>
      </rPr>
      <t>금화소방기술단</t>
    </r>
  </si>
  <si>
    <r>
      <t>(00010)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</si>
  <si>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에이블위</t>
    </r>
  </si>
  <si>
    <r>
      <t>(00018)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당직용역료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</si>
  <si>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케이디텍</t>
    </r>
  </si>
  <si>
    <r>
      <t>(00017)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</si>
  <si>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다인에스</t>
    </r>
  </si>
  <si>
    <r>
      <t>(00118)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(3/7 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</si>
  <si>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김정옥</t>
    </r>
  </si>
  <si>
    <r>
      <t>(00119)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(3/20~3/26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</si>
  <si>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윤한순</t>
    </r>
  </si>
  <si>
    <r>
      <t>(00120)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(3/26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</si>
  <si>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최영숙</t>
    </r>
  </si>
  <si>
    <r>
      <t xml:space="preserve">(00092) </t>
    </r>
    <r>
      <rPr>
        <sz val="9"/>
        <rFont val="Dotum"/>
        <family val="3"/>
        <charset val="129"/>
      </rPr>
      <t>영양사실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강화도어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시건장치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</si>
  <si>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메모리기업</t>
    </r>
  </si>
  <si>
    <r>
      <t>(00091)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자동화시스템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유지보수비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</si>
  <si>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나이콤</t>
    </r>
  </si>
  <si>
    <r>
      <t xml:space="preserve">(00114) </t>
    </r>
    <r>
      <rPr>
        <sz val="9"/>
        <rFont val="Dotum"/>
        <family val="3"/>
        <charset val="129"/>
      </rPr>
      <t>가스사고배상책임보험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가입</t>
    </r>
  </si>
  <si>
    <r>
      <rPr>
        <sz val="9"/>
        <rFont val="Dotum"/>
        <family val="3"/>
        <charset val="129"/>
      </rPr>
      <t>삼성화재</t>
    </r>
  </si>
  <si>
    <r>
      <t>(00115)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</si>
  <si>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rPr>
        <sz val="9"/>
        <rFont val="Dotum"/>
        <family val="3"/>
        <charset val="129"/>
      </rPr>
      <t>윤서란외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명</t>
    </r>
  </si>
  <si>
    <r>
      <t>(00093)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</si>
  <si>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rPr>
        <sz val="9"/>
        <rFont val="Dotum"/>
        <family val="3"/>
        <charset val="129"/>
      </rPr>
      <t>이흥수외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</si>
  <si>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(00101)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</si>
  <si>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rPr>
        <sz val="9"/>
        <rFont val="Dotum"/>
        <family val="3"/>
        <charset val="129"/>
      </rPr>
      <t>이영학</t>
    </r>
  </si>
  <si>
    <r>
      <t>(00121)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</si>
  <si>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rPr>
        <sz val="9"/>
        <rFont val="Dotum"/>
        <family val="3"/>
        <charset val="129"/>
      </rPr>
      <t>김미자</t>
    </r>
  </si>
  <si>
    <r>
      <t>(00122)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봉사활동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</si>
  <si>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황희정외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</si>
  <si>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(00116)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</si>
  <si>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박의섭</t>
    </r>
  </si>
  <si>
    <r>
      <t>(00125)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</si>
  <si>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한국방송공사</t>
    </r>
    <r>
      <rPr>
        <sz val="9"/>
        <rFont val="gulim,Verdana"/>
        <family val="2"/>
      </rPr>
      <t>(KBS)</t>
    </r>
  </si>
  <si>
    <r>
      <t>(00127)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상하수도요금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</si>
  <si>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강남수도사업소</t>
    </r>
  </si>
  <si>
    <r>
      <t>(00126)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</si>
  <si>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한국전력공사</t>
    </r>
  </si>
  <si>
    <r>
      <t>(00081)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</si>
  <si>
    <r>
      <rPr>
        <sz val="9"/>
        <rFont val="Dotum"/>
        <family val="3"/>
        <charset val="129"/>
      </rPr>
      <t>가능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</si>
  <si>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(00131)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</si>
  <si>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 xml:space="preserve">(00137) </t>
    </r>
    <r>
      <rPr>
        <sz val="9"/>
        <rFont val="Dotum"/>
        <family val="3"/>
        <charset val="129"/>
      </rPr>
      <t>경조사비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</si>
  <si>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정아솔</t>
    </r>
  </si>
  <si>
    <r>
      <t>(00142)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</si>
  <si>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한살림서울사회적협동조합</t>
    </r>
  </si>
  <si>
    <r>
      <t>(00144)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</si>
  <si>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윤지혜</t>
    </r>
  </si>
  <si>
    <r>
      <t>(00145)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</si>
  <si>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홍정은</t>
    </r>
  </si>
  <si>
    <r>
      <rPr>
        <sz val="9"/>
        <rFont val="Dotum"/>
        <family val="3"/>
        <charset val="129"/>
      </rPr>
      <t>남경식</t>
    </r>
  </si>
  <si>
    <r>
      <t>(00150)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(s2b)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</si>
  <si>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rPr>
        <sz val="9"/>
        <rFont val="Dotum"/>
        <family val="3"/>
        <charset val="129"/>
      </rPr>
      <t>한국교직원공제회</t>
    </r>
    <r>
      <rPr>
        <sz val="9"/>
        <rFont val="gulim,Verdana"/>
        <family val="2"/>
      </rPr>
      <t xml:space="preserve"> S2B</t>
    </r>
  </si>
  <si>
    <r>
      <t>(00159)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</si>
  <si>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문수진</t>
    </r>
  </si>
  <si>
    <r>
      <rPr>
        <sz val="9"/>
        <rFont val="Dotum"/>
        <family val="3"/>
        <charset val="129"/>
      </rPr>
      <t>최유미외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</si>
  <si>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(00157)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</si>
  <si>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지현혜외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</si>
  <si>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(00158)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</si>
  <si>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이근자외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</si>
  <si>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(00160)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위탁처리비</t>
    </r>
  </si>
  <si>
    <r>
      <rPr>
        <sz val="9"/>
        <rFont val="Dotum"/>
        <family val="3"/>
        <charset val="129"/>
      </rPr>
      <t>태영환경</t>
    </r>
  </si>
  <si>
    <r>
      <t>(00146)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우유급식비</t>
    </r>
  </si>
  <si>
    <r>
      <rPr>
        <sz val="9"/>
        <rFont val="Dotum"/>
        <family val="3"/>
        <charset val="129"/>
      </rPr>
      <t>서울우유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대림동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고객센터</t>
    </r>
  </si>
  <si>
    <r>
      <t>(00035)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전자조달시스템</t>
    </r>
    <r>
      <rPr>
        <sz val="9"/>
        <rFont val="gulim,Verdana"/>
        <family val="2"/>
      </rPr>
      <t xml:space="preserve">(eaT) </t>
    </r>
    <r>
      <rPr>
        <sz val="9"/>
        <rFont val="Dotum"/>
        <family val="3"/>
        <charset val="129"/>
      </rPr>
      <t>이용수수료</t>
    </r>
  </si>
  <si>
    <r>
      <rPr>
        <sz val="9"/>
        <rFont val="Dotum"/>
        <family val="3"/>
        <charset val="129"/>
      </rPr>
      <t>공공급식통합플랫폼</t>
    </r>
  </si>
  <si>
    <r>
      <t>(00147)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</si>
  <si>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보은농산물</t>
    </r>
  </si>
  <si>
    <r>
      <t>(00149)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</si>
  <si>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더팜</t>
    </r>
  </si>
  <si>
    <r>
      <t>(00152)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</si>
  <si>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수협중앙회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급식사업본부</t>
    </r>
  </si>
  <si>
    <r>
      <t>(00155)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</si>
  <si>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화성농업협동조합</t>
    </r>
  </si>
  <si>
    <r>
      <t>(00154)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</si>
  <si>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경기오색소반김치</t>
    </r>
  </si>
  <si>
    <r>
      <t>(00156)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</si>
  <si>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영림푸드</t>
    </r>
  </si>
  <si>
    <r>
      <t>(00170)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</si>
  <si>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(00171)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</si>
  <si>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허윤영외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명</t>
    </r>
  </si>
  <si>
    <r>
      <t>(00071)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</si>
  <si>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태양고속관광</t>
    </r>
  </si>
  <si>
    <r>
      <t>(00167)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</si>
  <si>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부건비엠주식회사</t>
    </r>
  </si>
  <si>
    <r>
      <t xml:space="preserve">(00175)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상수도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누수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</si>
  <si>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지호이엔씨</t>
    </r>
  </si>
  <si>
    <r>
      <t xml:space="preserve">(00176)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변기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막힘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</si>
  <si>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(00172)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퇴직연금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정기수수료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농협</t>
    </r>
    <r>
      <rPr>
        <sz val="9"/>
        <rFont val="gulim,Verdana"/>
        <family val="2"/>
      </rPr>
      <t>DC)</t>
    </r>
  </si>
  <si>
    <r>
      <rPr>
        <sz val="9"/>
        <rFont val="Dotum"/>
        <family val="3"/>
        <charset val="129"/>
      </rPr>
      <t>농협은행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강남세곡지점</t>
    </r>
  </si>
  <si>
    <r>
      <t>(00168)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</si>
  <si>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문현경</t>
    </r>
  </si>
  <si>
    <r>
      <rPr>
        <sz val="9"/>
        <rFont val="Dotum"/>
        <family val="3"/>
        <charset val="129"/>
      </rPr>
      <t>황혜진외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명</t>
    </r>
  </si>
  <si>
    <r>
      <t>(00169)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</si>
  <si>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전인숙외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</si>
  <si>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(4/4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</si>
  <si>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(00180)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비폭력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</si>
  <si>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김미경</t>
    </r>
  </si>
  <si>
    <r>
      <t>(00181)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치어리딩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</si>
  <si>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홍순만</t>
    </r>
  </si>
  <si>
    <r>
      <t>(00185)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</si>
  <si>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김미정</t>
    </r>
  </si>
  <si>
    <r>
      <rPr>
        <sz val="9"/>
        <rFont val="Dotum"/>
        <family val="3"/>
        <charset val="129"/>
      </rPr>
      <t>박정하</t>
    </r>
  </si>
  <si>
    <r>
      <t>(00186)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사물놀이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황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</si>
  <si>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황경은</t>
    </r>
  </si>
  <si>
    <r>
      <t>(00158) (</t>
    </r>
    <r>
      <rPr>
        <sz val="9"/>
        <rFont val="Dotum"/>
        <family val="3"/>
        <charset val="129"/>
      </rPr>
      <t>과목경정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</si>
  <si>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(00141)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서울형교육복지위원회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계획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</si>
  <si>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쥬청과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강남세곡점</t>
    </r>
  </si>
  <si>
    <r>
      <t>(00095)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</si>
  <si>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네이버파이낸셜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</si>
  <si>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(00096)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필름지</t>
    </r>
  </si>
  <si>
    <r>
      <t>(00097)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보드마카지우개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건</t>
    </r>
  </si>
  <si>
    <r>
      <t>(00098)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라벨지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건</t>
    </r>
  </si>
  <si>
    <r>
      <t>(00099)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_8</t>
    </r>
    <r>
      <rPr>
        <sz val="9"/>
        <rFont val="Dotum"/>
        <family val="3"/>
        <charset val="129"/>
      </rPr>
      <t>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도화지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건</t>
    </r>
  </si>
  <si>
    <r>
      <t>(00133)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(3/25)</t>
    </r>
  </si>
  <si>
    <r>
      <t>(00134)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(3/25)</t>
    </r>
  </si>
  <si>
    <r>
      <rPr>
        <sz val="9"/>
        <rFont val="Dotum"/>
        <family val="3"/>
        <charset val="129"/>
      </rPr>
      <t>나주본곰탕</t>
    </r>
  </si>
  <si>
    <r>
      <t>(00086)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(3/21)</t>
    </r>
  </si>
  <si>
    <r>
      <t>(00089)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입학식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현수막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제작비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</si>
  <si>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서울기획</t>
    </r>
  </si>
  <si>
    <r>
      <t>(00077)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화장실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</si>
  <si>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(00088)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</si>
  <si>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(00090)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-_</t>
    </r>
    <r>
      <rPr>
        <sz val="9"/>
        <rFont val="Dotum"/>
        <family val="3"/>
        <charset val="129"/>
      </rPr>
      <t>머메이드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16</t>
    </r>
    <r>
      <rPr>
        <sz val="9"/>
        <rFont val="Dotum"/>
        <family val="3"/>
        <charset val="129"/>
      </rPr>
      <t>건</t>
    </r>
  </si>
  <si>
    <r>
      <t>(00070)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아리수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</si>
  <si>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구츠</t>
    </r>
  </si>
  <si>
    <r>
      <t>(00074)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(3/19)</t>
    </r>
  </si>
  <si>
    <r>
      <t>(00075)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(3.19.)</t>
    </r>
  </si>
  <si>
    <r>
      <t>(00067)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관리용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</si>
  <si>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(00069)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삼각플라스크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건</t>
    </r>
  </si>
  <si>
    <r>
      <t>(00083)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화장실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마포걸레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>)</t>
    </r>
  </si>
  <si>
    <r>
      <t>(00066)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꿈샘교실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휴지통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</si>
  <si>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(00123)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</si>
  <si>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(00128)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라벨테이프</t>
    </r>
  </si>
  <si>
    <r>
      <t>(00129)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 xml:space="preserve">_ </t>
    </r>
    <r>
      <rPr>
        <sz val="9"/>
        <rFont val="Dotum"/>
        <family val="3"/>
        <charset val="129"/>
      </rPr>
      <t>얼음틀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건</t>
    </r>
  </si>
  <si>
    <r>
      <t>(00132)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(3/28)</t>
    </r>
  </si>
  <si>
    <r>
      <t>(00130)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</si>
  <si>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쿠우쿠우</t>
    </r>
  </si>
  <si>
    <r>
      <t>(00136)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(3/27)</t>
    </r>
  </si>
  <si>
    <r>
      <t>(00138)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바론반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</si>
  <si>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(00139)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온책읽기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(1,2,5,6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>)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</si>
  <si>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교보문고</t>
    </r>
  </si>
  <si>
    <r>
      <t>(00140)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간담회비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</si>
  <si>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홍마트</t>
    </r>
  </si>
  <si>
    <r>
      <t>(00108)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실내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미세먼지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측정기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</si>
  <si>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(00109)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진공실험장치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16</t>
    </r>
    <r>
      <rPr>
        <sz val="9"/>
        <rFont val="Dotum"/>
        <family val="3"/>
        <charset val="129"/>
      </rPr>
      <t>건</t>
    </r>
  </si>
  <si>
    <r>
      <t>(00110)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</si>
  <si>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네이버파이낸셜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</si>
  <si>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(00111)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석회수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건</t>
    </r>
  </si>
  <si>
    <r>
      <t>(00112)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</si>
  <si>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컴플러스</t>
    </r>
  </si>
  <si>
    <r>
      <t>(00113)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(3.20)</t>
    </r>
  </si>
  <si>
    <r>
      <rPr>
        <sz val="9"/>
        <rFont val="Dotum"/>
        <family val="3"/>
        <charset val="129"/>
      </rPr>
      <t>쿠팡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</si>
  <si>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(00135)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(3/26)</t>
    </r>
  </si>
  <si>
    <r>
      <rPr>
        <sz val="9"/>
        <rFont val="Dotum"/>
        <family val="3"/>
        <charset val="129"/>
      </rPr>
      <t>오마뎅</t>
    </r>
    <r>
      <rPr>
        <sz val="9"/>
        <rFont val="gulim,Verdana"/>
        <family val="2"/>
      </rPr>
      <t>159-</t>
    </r>
    <r>
      <rPr>
        <sz val="9"/>
        <rFont val="Dotum"/>
        <family val="3"/>
        <charset val="129"/>
      </rPr>
      <t>강남자곡점</t>
    </r>
  </si>
  <si>
    <r>
      <t>(00164)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화장실용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변기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커버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</si>
  <si>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(00166)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</si>
  <si>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(00153)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레이져보안경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건</t>
    </r>
  </si>
  <si>
    <r>
      <t>(00189)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</si>
  <si>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rPr>
        <sz val="9"/>
        <rFont val="Dotum"/>
        <family val="3"/>
        <charset val="129"/>
      </rPr>
      <t>서울율현초등학교</t>
    </r>
  </si>
  <si>
    <r>
      <t>(00187)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보결수당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</si>
  <si>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홍윤정외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명</t>
    </r>
  </si>
  <si>
    <r>
      <t>(00183)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텃밭용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</si>
  <si>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신흥산업</t>
    </r>
  </si>
  <si>
    <r>
      <t>(00184) (4/12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(3/28)</t>
    </r>
  </si>
  <si>
    <r>
      <rPr>
        <sz val="9"/>
        <rFont val="Dotum"/>
        <family val="3"/>
        <charset val="129"/>
      </rPr>
      <t>피자리움</t>
    </r>
  </si>
  <si>
    <r>
      <t>(00016)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해충소독비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</si>
  <si>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세스코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</si>
  <si>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(4/9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</si>
  <si>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(00190)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</si>
  <si>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조진숙외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명</t>
    </r>
  </si>
  <si>
    <r>
      <t>(00191)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</si>
  <si>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(00212)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잠복결핵검사비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</si>
  <si>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이영주</t>
    </r>
  </si>
  <si>
    <r>
      <t xml:space="preserve">(00210) </t>
    </r>
    <r>
      <rPr>
        <sz val="9"/>
        <rFont val="Dotum"/>
        <family val="3"/>
        <charset val="129"/>
      </rPr>
      <t>경조사비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</si>
  <si>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최다정</t>
    </r>
  </si>
  <si>
    <r>
      <t>(00192)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공통학습준비물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반품비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</si>
  <si>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(00213)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옥내급수관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</si>
  <si>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워트랩생활환경연구원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</si>
  <si>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(4/11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</si>
  <si>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(00227) 5-</t>
    </r>
    <r>
      <rPr>
        <sz val="9"/>
        <rFont val="Dotum"/>
        <family val="3"/>
        <charset val="129"/>
      </rPr>
      <t>마음</t>
    </r>
    <r>
      <rPr>
        <sz val="9"/>
        <rFont val="gulim,Verdana"/>
        <family val="2"/>
      </rPr>
      <t xml:space="preserve"> TV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</si>
  <si>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(00229)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(4/10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</si>
  <si>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(4/15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</si>
  <si>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(00036)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 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</si>
  <si>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(00174)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</si>
  <si>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위드스쿨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</si>
  <si>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(00124) (G2b)2025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방송장비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오디오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앰프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</si>
  <si>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조달청</t>
    </r>
  </si>
  <si>
    <r>
      <t xml:space="preserve">(00232) 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태블릿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</si>
  <si>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(00231) </t>
    </r>
    <r>
      <rPr>
        <sz val="9"/>
        <rFont val="Dotum"/>
        <family val="3"/>
        <charset val="129"/>
      </rPr>
      <t>보안관실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복원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작업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</si>
  <si>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(00230) </t>
    </r>
    <r>
      <rPr>
        <sz val="9"/>
        <rFont val="Dotum"/>
        <family val="3"/>
        <charset val="129"/>
      </rPr>
      <t>방송실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추가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포설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작업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</si>
  <si>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(00228)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방송장비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오디오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앰프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교체작업비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</si>
  <si>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동광전자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</t>
    </r>
  </si>
  <si>
    <r>
      <t>(00224)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</si>
  <si>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>(00233)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강사료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</si>
  <si>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에듀칸</t>
    </r>
  </si>
  <si>
    <r>
      <t>(00149)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</si>
  <si>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(00147)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</si>
  <si>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(00152)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</si>
  <si>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(00155)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</si>
  <si>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(00154)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</si>
  <si>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(00156)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</si>
  <si>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(00146)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초등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</si>
  <si>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(4/18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</si>
  <si>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(00008)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</si>
  <si>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(00254)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</si>
  <si>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(00146)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반납</t>
    </r>
  </si>
  <si>
    <r>
      <t>(00013)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</si>
  <si>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(00009)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</si>
  <si>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(00200)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장애인식개선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지츨</t>
    </r>
  </si>
  <si>
    <r>
      <rPr>
        <sz val="9"/>
        <rFont val="Dotum"/>
        <family val="3"/>
        <charset val="129"/>
      </rPr>
      <t>강남세움보호작업장</t>
    </r>
  </si>
  <si>
    <r>
      <t>(00201)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</si>
  <si>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11</t>
    </r>
    <r>
      <rPr>
        <sz val="9"/>
        <rFont val="Dotum"/>
        <family val="3"/>
        <charset val="129"/>
      </rPr>
      <t>번가외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</si>
  <si>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(00202)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</si>
  <si>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(00203)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지츨</t>
    </r>
  </si>
  <si>
    <r>
      <t>11</t>
    </r>
    <r>
      <rPr>
        <sz val="9"/>
        <rFont val="Dotum"/>
        <family val="3"/>
        <charset val="129"/>
      </rPr>
      <t>번가</t>
    </r>
  </si>
  <si>
    <r>
      <t>(00205)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검은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도화지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건</t>
    </r>
  </si>
  <si>
    <r>
      <t>(00206)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볼펜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건</t>
    </r>
  </si>
  <si>
    <r>
      <t>(00207)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</si>
  <si>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(00208)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</si>
  <si>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(00209)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삼각플라스크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건</t>
    </r>
  </si>
  <si>
    <r>
      <rPr>
        <sz val="9"/>
        <rFont val="Dotum"/>
        <family val="3"/>
        <charset val="129"/>
      </rPr>
      <t>홍마트외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</si>
  <si>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(00211)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</si>
  <si>
    <r>
      <t>(00173)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</si>
  <si>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(00177)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</si>
  <si>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(00178)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</si>
  <si>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(00179)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원예활동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</si>
  <si>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아이원플라워앤굿스</t>
    </r>
  </si>
  <si>
    <r>
      <t>(00182)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청소용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기름걸레</t>
    </r>
    <r>
      <rPr>
        <sz val="9"/>
        <rFont val="gulim,Verdana"/>
        <family val="2"/>
      </rPr>
      <t>-</t>
    </r>
    <r>
      <rPr>
        <sz val="9"/>
        <rFont val="Dotum"/>
        <family val="3"/>
        <charset val="129"/>
      </rPr>
      <t>판자루세트포함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</t>
    </r>
  </si>
  <si>
    <r>
      <t>(00163)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)3</t>
    </r>
    <r>
      <rPr>
        <sz val="9"/>
        <rFont val="Dotum"/>
        <family val="3"/>
        <charset val="129"/>
      </rPr>
      <t>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표현활동실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전자칠판</t>
    </r>
    <r>
      <rPr>
        <sz val="9"/>
        <rFont val="gulim,Verdana"/>
        <family val="2"/>
      </rPr>
      <t xml:space="preserve"> A/S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</si>
  <si>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스마트터치</t>
    </r>
  </si>
  <si>
    <r>
      <t>(00165)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주차구역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스티커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</si>
  <si>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(00204)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(4/1)</t>
    </r>
  </si>
  <si>
    <r>
      <t>(00148)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(3/31)</t>
    </r>
  </si>
  <si>
    <r>
      <rPr>
        <sz val="9"/>
        <rFont val="Dotum"/>
        <family val="3"/>
        <charset val="129"/>
      </rPr>
      <t>엄마떡볶이</t>
    </r>
  </si>
  <si>
    <r>
      <t>(00151)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장애인식개선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</si>
  <si>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(00241)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평등한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수학시간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</si>
  <si>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예스이십사주식회사</t>
    </r>
  </si>
  <si>
    <r>
      <t>(00219)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가람반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</si>
  <si>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(00220)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디딤돌교실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</si>
  <si>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예스이십사주식회사외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</si>
  <si>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(00221)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</si>
  <si>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(00222)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(4.10)</t>
    </r>
  </si>
  <si>
    <r>
      <rPr>
        <sz val="9"/>
        <rFont val="Dotum"/>
        <family val="3"/>
        <charset val="129"/>
      </rPr>
      <t>이베이코리아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지마켓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옥션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</si>
  <si>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알라딘커뮤니케이션</t>
    </r>
  </si>
  <si>
    <r>
      <t>(00214)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>)</t>
    </r>
  </si>
  <si>
    <r>
      <t>(00215)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어린이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안전교육활동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</si>
  <si>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(00217)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회의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진행용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</si>
  <si>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(00223)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내화학성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장갑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건</t>
    </r>
  </si>
  <si>
    <r>
      <t>(00225)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플라스틱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안전칼</t>
    </r>
  </si>
  <si>
    <r>
      <t>(00226)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디지털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현미경</t>
    </r>
  </si>
  <si>
    <r>
      <t>(00193)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종이접기에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</si>
  <si>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(00194)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연극놀이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신체놀이에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</si>
  <si>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(00195)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월경용품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</si>
  <si>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(00196)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학교텃밭작물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</si>
  <si>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꽃봄</t>
    </r>
  </si>
  <si>
    <r>
      <t>(00216)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직군별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학교장과의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간담회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</si>
  <si>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이디야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커피</t>
    </r>
  </si>
  <si>
    <r>
      <t>(00218)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가람반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</si>
  <si>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(00197)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</si>
  <si>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(00198)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바론반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</si>
  <si>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(00199)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</si>
  <si>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(00234) (4/27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커피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</si>
  <si>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(00260)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우유급식비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</si>
  <si>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(00259)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꿈샘교실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</si>
  <si>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(00253)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</si>
  <si>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(00240)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 xml:space="preserve">_ </t>
    </r>
    <r>
      <rPr>
        <sz val="9"/>
        <rFont val="Dotum"/>
        <family val="3"/>
        <charset val="129"/>
      </rPr>
      <t>아크릴봉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건</t>
    </r>
  </si>
  <si>
    <r>
      <t>(00262)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회복적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생활교육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</si>
  <si>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양미정</t>
    </r>
  </si>
  <si>
    <r>
      <t>(00263)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</si>
  <si>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김가령</t>
    </r>
  </si>
  <si>
    <r>
      <t>(00264) 2,3,5,6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소변검사비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>(556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</si>
  <si>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사단법인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학교건강지원협회</t>
    </r>
  </si>
  <si>
    <r>
      <t xml:space="preserve">(00251) </t>
    </r>
    <r>
      <rPr>
        <sz val="9"/>
        <rFont val="Dotum"/>
        <family val="3"/>
        <charset val="129"/>
      </rPr>
      <t>과학실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폐수처리비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</si>
  <si>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그린엔텍</t>
    </r>
  </si>
  <si>
    <r>
      <t>(00015)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</si>
  <si>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(00284)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</si>
  <si>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(00283)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</si>
  <si>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(00282)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</si>
  <si>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(00322)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</si>
  <si>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(4/28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</si>
  <si>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(00304)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</si>
  <si>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(00306)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</si>
  <si>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(00321)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위닉스</t>
    </r>
    <r>
      <rPr>
        <sz val="9"/>
        <rFont val="gulim,Verdana"/>
        <family val="2"/>
      </rPr>
      <t>)/</t>
    </r>
    <r>
      <rPr>
        <sz val="9"/>
        <rFont val="Dotum"/>
        <family val="3"/>
        <charset val="129"/>
      </rPr>
      <t>자동이체</t>
    </r>
  </si>
  <si>
    <r>
      <t xml:space="preserve">(00281) </t>
    </r>
    <r>
      <rPr>
        <sz val="9"/>
        <rFont val="Dotum"/>
        <family val="3"/>
        <charset val="129"/>
      </rPr>
      <t>알툴즈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통합팩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사용권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교육용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소프트웨어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</si>
  <si>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이스트소프트</t>
    </r>
  </si>
  <si>
    <r>
      <t>(00011)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</si>
  <si>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(00014)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</si>
  <si>
    <r>
      <t>(00010)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</si>
  <si>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(00017)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</si>
  <si>
    <r>
      <t>(00007)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전기안전관리용역료</t>
    </r>
  </si>
  <si>
    <r>
      <t>(00012)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</si>
  <si>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(00018)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당직용역료</t>
    </r>
  </si>
  <si>
    <r>
      <t>(00081)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</si>
  <si>
    <r>
      <t xml:space="preserve">(00276)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</si>
  <si>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(00261)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</si>
  <si>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(00280)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</si>
  <si>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(00279)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</si>
  <si>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(00287)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</si>
  <si>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rPr>
        <sz val="9"/>
        <rFont val="Dotum"/>
        <family val="3"/>
        <charset val="129"/>
      </rPr>
      <t>황희정외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명</t>
    </r>
  </si>
  <si>
    <r>
      <t>(00285)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</si>
  <si>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(00288)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</si>
  <si>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(00286)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</si>
  <si>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정아솔외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</si>
  <si>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(00294)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</si>
  <si>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(00299)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</si>
  <si>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이동영외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</si>
  <si>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(00300)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</si>
  <si>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임진영</t>
    </r>
  </si>
  <si>
    <r>
      <t>(00314)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(4/23, 4/25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</si>
  <si>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(00315)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학습지원강사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디딤돌강사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</si>
  <si>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홍은하</t>
    </r>
  </si>
  <si>
    <r>
      <t>(00316)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</si>
  <si>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(00317)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</si>
  <si>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(00318)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</si>
  <si>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(00319)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</si>
  <si>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이영미</t>
    </r>
  </si>
  <si>
    <r>
      <t>(00320)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학교폭력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(4/7, 4/14, 4/21, 4/28 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</si>
  <si>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이근자</t>
    </r>
  </si>
  <si>
    <r>
      <t xml:space="preserve">(00313)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폐소화기</t>
    </r>
    <r>
      <rPr>
        <sz val="9"/>
        <rFont val="gulim,Verdana"/>
        <family val="2"/>
      </rPr>
      <t>)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</si>
  <si>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(4/30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</si>
  <si>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(00340)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</si>
  <si>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(00339)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</si>
  <si>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(00338)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</si>
  <si>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>(00326)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</si>
  <si>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(00343)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</si>
  <si>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최보경</t>
    </r>
  </si>
  <si>
    <r>
      <t>(00344)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</t>
    </r>
    <r>
      <rPr>
        <sz val="9"/>
        <rFont val="Dotum"/>
        <family val="3"/>
        <charset val="129"/>
      </rPr>
      <t>등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 xml:space="preserve">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</si>
  <si>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지현혜외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명</t>
    </r>
  </si>
  <si>
    <r>
      <t>(00342)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발도로프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손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</si>
  <si>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손병숙</t>
    </r>
  </si>
  <si>
    <r>
      <t>(00335)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우유급식비</t>
    </r>
  </si>
  <si>
    <r>
      <t>(00336)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우유급식비</t>
    </r>
  </si>
  <si>
    <r>
      <t xml:space="preserve">(00160) </t>
    </r>
    <r>
      <rPr>
        <sz val="9"/>
        <rFont val="Dotum"/>
        <family val="3"/>
        <charset val="129"/>
      </rPr>
      <t>４월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위탁처리비</t>
    </r>
  </si>
  <si>
    <r>
      <t>(00035)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전자조달시스템</t>
    </r>
    <r>
      <rPr>
        <sz val="9"/>
        <rFont val="gulim,Verdana"/>
        <family val="2"/>
      </rPr>
      <t xml:space="preserve">(eaT) </t>
    </r>
    <r>
      <rPr>
        <sz val="9"/>
        <rFont val="Dotum"/>
        <family val="3"/>
        <charset val="129"/>
      </rPr>
      <t>이용수수료</t>
    </r>
  </si>
  <si>
    <r>
      <t>(00346)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</si>
  <si>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(00347)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</si>
  <si>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(00348)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</si>
  <si>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(00350)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</si>
  <si>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(00349)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</si>
  <si>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풍산김치</t>
    </r>
  </si>
  <si>
    <r>
      <t>(00351)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</si>
  <si>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프레시쿡</t>
    </r>
  </si>
  <si>
    <r>
      <t xml:space="preserve">(00352) </t>
    </r>
    <r>
      <rPr>
        <sz val="9"/>
        <rFont val="Dotum"/>
        <family val="3"/>
        <charset val="129"/>
      </rPr>
      <t>대안교육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급식비</t>
    </r>
  </si>
  <si>
    <r>
      <rPr>
        <sz val="9"/>
        <rFont val="Dotum"/>
        <family val="3"/>
        <charset val="129"/>
      </rPr>
      <t>서울특별시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어린이병원</t>
    </r>
  </si>
  <si>
    <r>
      <t xml:space="preserve">(00325) </t>
    </r>
    <r>
      <rPr>
        <sz val="9"/>
        <rFont val="Dotum"/>
        <family val="3"/>
        <charset val="129"/>
      </rPr>
      <t>교육청계약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,2025.4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계좌이체</t>
    </r>
    <r>
      <rPr>
        <sz val="9"/>
        <rFont val="gulim,Verdana"/>
        <family val="2"/>
      </rPr>
      <t>)</t>
    </r>
  </si>
  <si>
    <r>
      <t>(00071)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</si>
  <si>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(00341)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서울희망교실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개산급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</si>
  <si>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조지원외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</si>
  <si>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>(00359)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</si>
  <si>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(00362)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</si>
  <si>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(00357)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전래동요와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춤놀이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</si>
  <si>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김효순</t>
    </r>
  </si>
  <si>
    <r>
      <t>(00358)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보결수당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</si>
  <si>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진지민외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명</t>
    </r>
  </si>
  <si>
    <r>
      <t>(00273)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신체놀이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</si>
  <si>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(00268)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</si>
  <si>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(00271)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삼각프리즘</t>
    </r>
  </si>
  <si>
    <r>
      <t>(00277)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쓰레기통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</si>
  <si>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(00242)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</si>
  <si>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(00243)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</si>
  <si>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(00244)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음악놀이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</si>
  <si>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(00274)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</si>
  <si>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(00245)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핸들비이커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건</t>
    </r>
  </si>
  <si>
    <r>
      <t>(00246)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스키툴스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카라멜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건</t>
    </r>
  </si>
  <si>
    <r>
      <rPr>
        <sz val="9"/>
        <rFont val="Dotum"/>
        <family val="3"/>
        <charset val="129"/>
      </rPr>
      <t>이마트에브리데이외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</si>
  <si>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(00247)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마개가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있는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시험관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건</t>
    </r>
  </si>
  <si>
    <r>
      <t>(00248)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영어디딤돌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구입비지출</t>
    </r>
  </si>
  <si>
    <r>
      <t>(00249)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</si>
  <si>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조선도재외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</si>
  <si>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(00250)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>)</t>
    </r>
  </si>
  <si>
    <r>
      <t>(00252)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토너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</si>
  <si>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(00235)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마을탐방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</si>
  <si>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아성다이소</t>
    </r>
  </si>
  <si>
    <r>
      <t>(00236)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</si>
  <si>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밤고개로더카페</t>
    </r>
  </si>
  <si>
    <r>
      <t>(00237)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</si>
  <si>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(00238)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정기간행물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</si>
  <si>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동아사이언스외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</si>
  <si>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(00239)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</si>
  <si>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(00290)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태양계행성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팔찌</t>
    </r>
  </si>
  <si>
    <r>
      <t>(00291)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필름지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건</t>
    </r>
  </si>
  <si>
    <r>
      <rPr>
        <sz val="9"/>
        <rFont val="Dotum"/>
        <family val="3"/>
        <charset val="129"/>
      </rPr>
      <t>아람과학사외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</si>
  <si>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(00292)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라온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</si>
  <si>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(00301)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율현교육과정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</si>
  <si>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홍마트외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</si>
  <si>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(00302)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프레파라트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건</t>
    </r>
  </si>
  <si>
    <r>
      <t>(00303)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식소다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건</t>
    </r>
  </si>
  <si>
    <r>
      <t>(00305)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</si>
  <si>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(00307)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</si>
  <si>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현현홀딩스</t>
    </r>
  </si>
  <si>
    <r>
      <t>(00308)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</si>
  <si>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굽네치킨강남세곡점</t>
    </r>
  </si>
  <si>
    <r>
      <t>(00355)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임상장학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</si>
  <si>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(00265)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</si>
  <si>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미소플라워</t>
    </r>
  </si>
  <si>
    <r>
      <t>(00266)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조리원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휴게실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세탁기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</si>
  <si>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(00267)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신체놀이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</si>
  <si>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(00275)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</si>
  <si>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(00293)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)2025.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생태전환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</si>
  <si>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(00296)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마음반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</si>
  <si>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(00297)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악기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 xml:space="preserve"> (4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>)</t>
    </r>
  </si>
  <si>
    <r>
      <t>(00309)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(4/24)</t>
    </r>
  </si>
  <si>
    <r>
      <t>(00269)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(4/23 )</t>
    </r>
  </si>
  <si>
    <r>
      <t>(00270)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(4.22)</t>
    </r>
  </si>
  <si>
    <r>
      <t>(00328)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</si>
  <si>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가장맛있는족발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수서점</t>
    </r>
    <r>
      <rPr>
        <sz val="9"/>
        <rFont val="gulim,Verdana"/>
        <family val="2"/>
      </rPr>
      <t>)</t>
    </r>
  </si>
  <si>
    <r>
      <t>(00332)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</si>
  <si>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핸디몰</t>
    </r>
  </si>
  <si>
    <r>
      <t>(00333)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</si>
  <si>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(00334)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)3-</t>
    </r>
    <r>
      <rPr>
        <sz val="9"/>
        <rFont val="Dotum"/>
        <family val="3"/>
        <charset val="129"/>
      </rPr>
      <t>라온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학급</t>
    </r>
    <r>
      <rPr>
        <sz val="9"/>
        <rFont val="gulim,Verdana"/>
        <family val="2"/>
      </rPr>
      <t xml:space="preserve"> PC M/B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</si>
  <si>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(00337)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</si>
  <si>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(00310)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</si>
  <si>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(00311)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음악놀이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</si>
  <si>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(00353)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</si>
  <si>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에스에스지닷컴</t>
    </r>
  </si>
  <si>
    <r>
      <t>(00289) 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꿈잼교실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(4.23)</t>
    </r>
  </si>
  <si>
    <r>
      <t>(00366)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치어리딩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사물놀이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**, </t>
    </r>
    <r>
      <rPr>
        <sz val="9"/>
        <rFont val="Dotum"/>
        <family val="3"/>
        <charset val="129"/>
      </rPr>
      <t>황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</si>
  <si>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황경은외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</si>
  <si>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 xml:space="preserve">(00377) </t>
    </r>
    <r>
      <rPr>
        <sz val="9"/>
        <rFont val="Dotum"/>
        <family val="3"/>
        <charset val="129"/>
      </rPr>
      <t>학생정서행동특성검사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결과봉투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</si>
  <si>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(00298) </t>
    </r>
    <r>
      <rPr>
        <sz val="9"/>
        <rFont val="Dotum"/>
        <family val="3"/>
        <charset val="129"/>
      </rPr>
      <t>보건교육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</si>
  <si>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(00062)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기계설비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성능점검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</si>
  <si>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누리앤소방전기안전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</si>
  <si>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(5/13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</si>
  <si>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 xml:space="preserve">(00379) 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약품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</si>
  <si>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(00380) </t>
    </r>
    <r>
      <rPr>
        <sz val="9"/>
        <rFont val="Dotum"/>
        <family val="3"/>
        <charset val="129"/>
      </rPr>
      <t>취반기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손잡이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</si>
  <si>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한신기업</t>
    </r>
  </si>
  <si>
    <r>
      <t xml:space="preserve">(00391) </t>
    </r>
    <r>
      <rPr>
        <sz val="9"/>
        <rFont val="Dotum"/>
        <family val="3"/>
        <charset val="129"/>
      </rPr>
      <t>조리실무사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건강진단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검진비용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(4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</si>
  <si>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최영란외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명</t>
    </r>
  </si>
  <si>
    <r>
      <t>(00360)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식기류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</si>
  <si>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뽀득</t>
    </r>
  </si>
  <si>
    <r>
      <t>(00390)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연극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</si>
  <si>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최혜승</t>
    </r>
  </si>
  <si>
    <r>
      <t>(00257) 4</t>
    </r>
    <r>
      <rPr>
        <sz val="9"/>
        <rFont val="Dotum"/>
        <family val="3"/>
        <charset val="129"/>
      </rPr>
      <t>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별관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방음공사비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(8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</si>
  <si>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다누리건설</t>
    </r>
  </si>
  <si>
    <r>
      <t xml:space="preserve">(00258) </t>
    </r>
    <r>
      <rPr>
        <sz val="9"/>
        <rFont val="Dotum"/>
        <family val="3"/>
        <charset val="129"/>
      </rPr>
      <t>정문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수돗가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수도배관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누수공사비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</si>
  <si>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지음</t>
    </r>
  </si>
  <si>
    <r>
      <t>(00256) 5</t>
    </r>
    <r>
      <rPr>
        <sz val="9"/>
        <rFont val="Dotum"/>
        <family val="3"/>
        <charset val="129"/>
      </rPr>
      <t>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열차단필름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</si>
  <si>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(00403)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(5/12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</si>
  <si>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(00363)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</si>
  <si>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새우리문고</t>
    </r>
  </si>
  <si>
    <r>
      <t>(00389)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</si>
  <si>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고수민</t>
    </r>
  </si>
  <si>
    <r>
      <t>(00404)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</si>
  <si>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황혜진외</t>
    </r>
    <r>
      <rPr>
        <sz val="9"/>
        <rFont val="gulim,Verdana"/>
        <family val="2"/>
      </rPr>
      <t xml:space="preserve"> 22</t>
    </r>
    <r>
      <rPr>
        <sz val="9"/>
        <rFont val="Dotum"/>
        <family val="3"/>
        <charset val="129"/>
      </rPr>
      <t>명</t>
    </r>
  </si>
  <si>
    <r>
      <rPr>
        <sz val="9"/>
        <rFont val="Dotum"/>
        <family val="3"/>
        <charset val="129"/>
      </rPr>
      <t>신혜리외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</si>
  <si>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(00386)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</si>
  <si>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(00394)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</si>
  <si>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>(00405)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</si>
  <si>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(00407) </t>
    </r>
    <r>
      <rPr>
        <sz val="9"/>
        <rFont val="Dotum"/>
        <family val="3"/>
        <charset val="129"/>
      </rPr>
      <t>학부모부담금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신용카드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자동납부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>(2024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>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~2025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-2024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</si>
  <si>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신한카드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명</t>
    </r>
  </si>
  <si>
    <r>
      <t>(00408)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</si>
  <si>
    <r>
      <t xml:space="preserve">(00217)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회의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진행용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</si>
  <si>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(00008)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</si>
  <si>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(00426)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</si>
  <si>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(00401)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텃밭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구입비지출</t>
    </r>
  </si>
  <si>
    <r>
      <t>(00369)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>(RFID</t>
    </r>
    <r>
      <rPr>
        <sz val="9"/>
        <rFont val="Dotum"/>
        <family val="3"/>
        <charset val="129"/>
      </rPr>
      <t>태그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</si>
  <si>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(00370)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꿈잼교실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(5.7)</t>
    </r>
  </si>
  <si>
    <r>
      <t>(00371)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</si>
  <si>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우아한형제들</t>
    </r>
  </si>
  <si>
    <r>
      <t>(00378)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학년별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</si>
  <si>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(00367)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고무장갑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>)</t>
    </r>
  </si>
  <si>
    <r>
      <t>(00368)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학교텃밭작물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</si>
  <si>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제일화원</t>
    </r>
  </si>
  <si>
    <r>
      <t>(00372)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>(5/8)</t>
    </r>
  </si>
  <si>
    <r>
      <t>(00373)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공동체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</si>
  <si>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(00361)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(5/7)</t>
    </r>
  </si>
  <si>
    <r>
      <t>(00374)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정화장치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건</t>
    </r>
  </si>
  <si>
    <r>
      <t>(00375)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</si>
  <si>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(00376)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</si>
  <si>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(00354)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품의</t>
    </r>
    <r>
      <rPr>
        <sz val="9"/>
        <rFont val="gulim,Verdana"/>
        <family val="2"/>
      </rPr>
      <t>-S2B)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고무캡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</si>
  <si>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한국문구도매센터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활문사외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</si>
  <si>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(00356)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청소용품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손세정제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>)</t>
    </r>
  </si>
  <si>
    <r>
      <t>(00323)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</si>
  <si>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(00324)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</si>
  <si>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(00327)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</si>
  <si>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(00329)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가람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</si>
  <si>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(00331)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우편요금</t>
    </r>
  </si>
  <si>
    <r>
      <rPr>
        <sz val="9"/>
        <rFont val="Dotum"/>
        <family val="3"/>
        <charset val="129"/>
      </rPr>
      <t>우체국</t>
    </r>
  </si>
  <si>
    <r>
      <t>(00395)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</si>
  <si>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(00396)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</si>
  <si>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(00397)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라온반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</si>
  <si>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(00399)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마을탐방활동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쿠킹클래스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</si>
  <si>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아이키친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강남점</t>
    </r>
  </si>
  <si>
    <r>
      <t>(00388)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청각장애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특수교육대상자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보조공학기기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</si>
  <si>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포직보청기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서울역센터</t>
    </r>
  </si>
  <si>
    <r>
      <t>(00402)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학년별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</si>
  <si>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(00421)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우편발송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</si>
  <si>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(00381)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</si>
  <si>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폴인커피</t>
    </r>
  </si>
  <si>
    <r>
      <t>(00382)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학년별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</si>
  <si>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(00385) (5/27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백반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분말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건</t>
    </r>
  </si>
  <si>
    <r>
      <t>(00393)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</si>
  <si>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성문화연구소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라라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협동조합</t>
    </r>
  </si>
  <si>
    <r>
      <t xml:space="preserve">(00424)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</si>
  <si>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유한토탈</t>
    </r>
  </si>
  <si>
    <r>
      <t>(00009)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</si>
  <si>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(00013)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</si>
  <si>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(00425) 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체육담당교원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피복비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</si>
  <si>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에이케이플라자외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</si>
  <si>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(00384)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실과수업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</si>
  <si>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(00383)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</si>
  <si>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이베이코리아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지마켓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옥션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</si>
  <si>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 xml:space="preserve">(00412)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운반카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바퀴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</si>
  <si>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코랙스테크</t>
    </r>
  </si>
  <si>
    <r>
      <t>(00427)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컨설팅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</si>
  <si>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이성미</t>
    </r>
  </si>
  <si>
    <r>
      <t>(00428)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컨설팅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</si>
  <si>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김승현</t>
    </r>
  </si>
  <si>
    <r>
      <t>(00440)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</si>
  <si>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(00015)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</si>
  <si>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(00429)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자율항목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맞춤형복지비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</si>
  <si>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이상림외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</si>
  <si>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 xml:space="preserve">(00444)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야채절단기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채고야</t>
    </r>
    <r>
      <rPr>
        <sz val="9"/>
        <rFont val="gulim,Verdana"/>
        <family val="2"/>
      </rPr>
      <t xml:space="preserve"> 500)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</si>
  <si>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화진정공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</t>
    </r>
  </si>
  <si>
    <r>
      <t xml:space="preserve">(00443)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건강진단결과서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보건증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검진비용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</si>
  <si>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박서우</t>
    </r>
  </si>
  <si>
    <r>
      <t>(00450)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</si>
  <si>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(00451)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</si>
  <si>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(00454)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</si>
  <si>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(00453)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</si>
  <si>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(00452)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</si>
  <si>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(00456)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위닉스</t>
    </r>
    <r>
      <rPr>
        <sz val="9"/>
        <rFont val="gulim,Verdana"/>
        <family val="2"/>
      </rPr>
      <t>)/</t>
    </r>
    <r>
      <rPr>
        <sz val="9"/>
        <rFont val="Dotum"/>
        <family val="3"/>
        <charset val="129"/>
      </rPr>
      <t>자동이체</t>
    </r>
  </si>
  <si>
    <r>
      <t>(00457)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</si>
  <si>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 xml:space="preserve">(00255) </t>
    </r>
    <r>
      <rPr>
        <sz val="9"/>
        <rFont val="Dotum"/>
        <family val="3"/>
        <charset val="129"/>
      </rPr>
      <t>후문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보안관실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빗물받이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캐노피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</si>
  <si>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(5/27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</si>
  <si>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(00018)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당직용역료</t>
    </r>
  </si>
  <si>
    <r>
      <t>(00011)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</si>
  <si>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(00012)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</si>
  <si>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(00081)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</si>
  <si>
    <r>
      <t>(00010)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</si>
  <si>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(00014)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</si>
  <si>
    <r>
      <t>(00017)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</si>
  <si>
    <r>
      <t>(00007)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전기안전관리용역료</t>
    </r>
  </si>
  <si>
    <r>
      <t xml:space="preserve">(00325) </t>
    </r>
    <r>
      <rPr>
        <sz val="9"/>
        <rFont val="Dotum"/>
        <family val="3"/>
        <charset val="129"/>
      </rPr>
      <t>교육청계약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,2025.5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계좌이체</t>
    </r>
    <r>
      <rPr>
        <sz val="9"/>
        <rFont val="gulim,Verdana"/>
        <family val="2"/>
      </rPr>
      <t>)</t>
    </r>
  </si>
  <si>
    <r>
      <t>(00248) (</t>
    </r>
    <r>
      <rPr>
        <sz val="9"/>
        <rFont val="Dotum"/>
        <family val="3"/>
        <charset val="129"/>
      </rPr>
      <t>반납결의</t>
    </r>
    <r>
      <rPr>
        <sz val="9"/>
        <rFont val="gulim,Verdana"/>
        <family val="2"/>
      </rPr>
      <t>)(5/12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영어디딤돌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구입비지출</t>
    </r>
  </si>
  <si>
    <r>
      <t>(00223) (</t>
    </r>
    <r>
      <rPr>
        <sz val="9"/>
        <rFont val="Dotum"/>
        <family val="3"/>
        <charset val="129"/>
      </rPr>
      <t>반납결의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내화학성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장갑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건</t>
    </r>
  </si>
  <si>
    <r>
      <t>(00423)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</si>
  <si>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(00460)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</si>
  <si>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 xml:space="preserve">(00455) </t>
    </r>
    <r>
      <rPr>
        <sz val="9"/>
        <rFont val="Dotum"/>
        <family val="3"/>
        <charset val="129"/>
      </rPr>
      <t>정화조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</si>
  <si>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한성성업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</si>
  <si>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 xml:space="preserve">(00312) </t>
    </r>
    <r>
      <rPr>
        <sz val="9"/>
        <rFont val="Dotum"/>
        <family val="3"/>
        <charset val="129"/>
      </rPr>
      <t>교육용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소프트웨어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미리캔버스</t>
    </r>
    <r>
      <rPr>
        <sz val="9"/>
        <rFont val="gulim,Verdana"/>
        <family val="2"/>
      </rPr>
      <t xml:space="preserve"> Pro)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</si>
  <si>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미리디</t>
    </r>
  </si>
  <si>
    <r>
      <t>(00467)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</si>
  <si>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rPr>
        <sz val="9"/>
        <rFont val="Dotum"/>
        <family val="3"/>
        <charset val="129"/>
      </rPr>
      <t>한국소방안전원</t>
    </r>
  </si>
  <si>
    <r>
      <t>(00461)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</si>
  <si>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(00441)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</si>
  <si>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(00445)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</si>
  <si>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(00442)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</si>
  <si>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(00458)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</si>
  <si>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t>(00463)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</si>
  <si>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(00462)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</si>
  <si>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(00474)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</si>
  <si>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허윤영외</t>
    </r>
    <r>
      <rPr>
        <sz val="9"/>
        <rFont val="gulim,Verdana"/>
        <family val="2"/>
      </rPr>
      <t xml:space="preserve"> 12</t>
    </r>
    <r>
      <rPr>
        <sz val="9"/>
        <rFont val="Dotum"/>
        <family val="3"/>
        <charset val="129"/>
      </rPr>
      <t>명</t>
    </r>
  </si>
  <si>
    <r>
      <t>(00475)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</si>
  <si>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(00478)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학교폭력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(5/12, 5/19, 5/26 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</si>
  <si>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(00479)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(5/28~5/29 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</si>
  <si>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(00483)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</t>
    </r>
    <r>
      <rPr>
        <sz val="9"/>
        <rFont val="Dotum"/>
        <family val="3"/>
        <charset val="129"/>
      </rPr>
      <t>등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 xml:space="preserve">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</si>
  <si>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이근자외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</si>
  <si>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(00480)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</si>
  <si>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이희경외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</si>
  <si>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>(00481)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보결수당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</si>
  <si>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홍윤정외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명</t>
    </r>
  </si>
  <si>
    <r>
      <t>(00482)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</si>
  <si>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이유진</t>
    </r>
  </si>
  <si>
    <r>
      <t>(00485)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</si>
  <si>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(5/30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</si>
  <si>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 xml:space="preserve">(00476) </t>
    </r>
    <r>
      <rPr>
        <sz val="9"/>
        <rFont val="Dotum"/>
        <family val="3"/>
        <charset val="129"/>
      </rPr>
      <t>교육시설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</si>
  <si>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rPr>
        <sz val="9"/>
        <rFont val="Dotum"/>
        <family val="3"/>
        <charset val="129"/>
      </rPr>
      <t>사단법인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한국녹색기후기술원</t>
    </r>
  </si>
  <si>
    <r>
      <t>(00459)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</si>
  <si>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>(00492)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</si>
  <si>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(00493)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</si>
  <si>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(00494)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</si>
  <si>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(00477)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</si>
  <si>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(00499)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</si>
  <si>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(00498)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상하수도요금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</si>
  <si>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(00497)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</si>
  <si>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(00495)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(s2b)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</si>
  <si>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(00496)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학습지원강사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디딤돌강사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</si>
  <si>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(00502)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</si>
  <si>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(00392)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식기류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</si>
  <si>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(00160)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위탁처리비</t>
    </r>
  </si>
  <si>
    <r>
      <t>(00035)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전자조달시스템</t>
    </r>
    <r>
      <rPr>
        <sz val="9"/>
        <rFont val="gulim,Verdana"/>
        <family val="2"/>
      </rPr>
      <t xml:space="preserve">(eaT) </t>
    </r>
    <r>
      <rPr>
        <sz val="9"/>
        <rFont val="Dotum"/>
        <family val="3"/>
        <charset val="129"/>
      </rPr>
      <t>이용수수료</t>
    </r>
  </si>
  <si>
    <r>
      <t>(00484)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초등학교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우유급식비</t>
    </r>
  </si>
  <si>
    <r>
      <t xml:space="preserve">(00509) </t>
    </r>
    <r>
      <rPr>
        <sz val="9"/>
        <rFont val="Dotum"/>
        <family val="3"/>
        <charset val="129"/>
      </rPr>
      <t>대안교육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급식비</t>
    </r>
  </si>
  <si>
    <r>
      <t>(00491)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</si>
  <si>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(00486)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</si>
  <si>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(00487)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</si>
  <si>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(00489)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</si>
  <si>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(00490)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</si>
  <si>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(00508)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전래동요와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춤놀이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</si>
  <si>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(00510)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발도로프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손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</si>
  <si>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(00511)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치어리딩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</si>
  <si>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(00512)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사물놀이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황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</si>
  <si>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(00513)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연극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</si>
  <si>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(6/5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</si>
  <si>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(00516)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</si>
  <si>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이지숙</t>
    </r>
  </si>
  <si>
    <r>
      <t>(00488)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</si>
  <si>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아이유팜</t>
    </r>
  </si>
  <si>
    <r>
      <t xml:space="preserve">(00514)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국솥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대형쏠밸브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</si>
  <si>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(00517)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(6/2 </t>
    </r>
    <r>
      <rPr>
        <sz val="9"/>
        <rFont val="Dotum"/>
        <family val="3"/>
        <charset val="129"/>
      </rPr>
      <t>심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</si>
  <si>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심향숙</t>
    </r>
  </si>
  <si>
    <r>
      <t>(00518)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(6/4~6/5 </t>
    </r>
    <r>
      <rPr>
        <sz val="9"/>
        <rFont val="Dotum"/>
        <family val="3"/>
        <charset val="129"/>
      </rPr>
      <t>심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</si>
  <si>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(00071)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</si>
  <si>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(00530)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</si>
  <si>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(00531)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컨설팅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</si>
  <si>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이정숙</t>
    </r>
  </si>
  <si>
    <r>
      <t>(00532)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</si>
  <si>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(00431)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라온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</si>
  <si>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(00432)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간담회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</si>
  <si>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단미그린비</t>
    </r>
  </si>
  <si>
    <r>
      <t>(00433)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해캄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건</t>
    </r>
  </si>
  <si>
    <r>
      <t>(00434)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스마트폰용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현미경</t>
    </r>
  </si>
  <si>
    <r>
      <t>(00435)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생태활동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</si>
  <si>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(00436)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</si>
  <si>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(00422)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</si>
  <si>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(00437)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아리수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</si>
  <si>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(00438)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마을결합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</si>
  <si>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(00439)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라온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</si>
  <si>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에스에스지닷컴외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</si>
  <si>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(00410)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)3-</t>
    </r>
    <r>
      <rPr>
        <sz val="9"/>
        <rFont val="Dotum"/>
        <family val="3"/>
        <charset val="129"/>
      </rPr>
      <t>다솜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메인보드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메모리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</si>
  <si>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(00411)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프론트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케이스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</si>
  <si>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다나와컴퓨터</t>
    </r>
  </si>
  <si>
    <r>
      <t>(00413)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바론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</si>
  <si>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아이스크림미디어외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</si>
  <si>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(00414)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프레파라트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건</t>
    </r>
  </si>
  <si>
    <r>
      <t>(00416)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(5/16)</t>
    </r>
  </si>
  <si>
    <r>
      <t>(00417)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(5.14)</t>
    </r>
  </si>
  <si>
    <r>
      <t>(00415)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(5/15)</t>
    </r>
  </si>
  <si>
    <r>
      <t>(00418)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</si>
  <si>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(00419)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수정</t>
    </r>
    <r>
      <rPr>
        <sz val="9"/>
        <rFont val="gulim,Verdana"/>
        <family val="2"/>
      </rPr>
      <t>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온책읽기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>)</t>
    </r>
  </si>
  <si>
    <r>
      <t>(00420)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</si>
  <si>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(00500)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흡연예방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홍보물품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</si>
  <si>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힐링샘</t>
    </r>
  </si>
  <si>
    <r>
      <t>(00505)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작가와의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만남관련</t>
    </r>
    <r>
      <rPr>
        <sz val="9"/>
        <rFont val="gulim,Verdana"/>
        <family val="2"/>
      </rPr>
      <t xml:space="preserve"> 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</si>
  <si>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(00465)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</si>
  <si>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(00468)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토의토론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</si>
  <si>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(00501)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(5/29)</t>
    </r>
  </si>
  <si>
    <r>
      <t>(00504)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지출</t>
    </r>
  </si>
  <si>
    <r>
      <t>(00507)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</si>
  <si>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(00469)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(5.28)</t>
    </r>
  </si>
  <si>
    <r>
      <t>(00470)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</si>
  <si>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(00471)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</si>
  <si>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(00472)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보조공학기기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멀티미디어허브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연결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점검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</si>
  <si>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한소리보청기청각언어센터</t>
    </r>
  </si>
  <si>
    <r>
      <t>(00473)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작물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충해방제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</si>
  <si>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농업회사법인아시아종묘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</si>
  <si>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(00446)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</si>
  <si>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(00430)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</si>
  <si>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(00448)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</si>
  <si>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(00449)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(4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>)</t>
    </r>
  </si>
  <si>
    <r>
      <t>(00521)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</si>
  <si>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(00515)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잔반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운반카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배수밸브캡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</si>
  <si>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(00519)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심폐소생술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응급처치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</si>
  <si>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두손교육</t>
    </r>
  </si>
  <si>
    <r>
      <t>(00533)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</si>
  <si>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반포식스세곡점</t>
    </r>
  </si>
  <si>
    <r>
      <t>(00534)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강남서초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혁신미래학교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교원협의체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</si>
  <si>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베리에이션</t>
    </r>
  </si>
  <si>
    <r>
      <t>(00535)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>( 5-</t>
    </r>
    <r>
      <rPr>
        <sz val="9"/>
        <rFont val="Dotum"/>
        <family val="3"/>
        <charset val="129"/>
      </rPr>
      <t>마음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</si>
  <si>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(00537)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4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(6/5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</si>
  <si>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정미영</t>
    </r>
  </si>
  <si>
    <r>
      <t>(00538)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(6/2, 6/4, 6/5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</si>
  <si>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(00539)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(6/2 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</si>
  <si>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(00529)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도서구입에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작업비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상품권사용</t>
    </r>
    <r>
      <rPr>
        <sz val="9"/>
        <rFont val="gulim,Verdana"/>
        <family val="2"/>
      </rPr>
      <t>)</t>
    </r>
  </si>
  <si>
    <r>
      <t>(00541)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디지털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리터러시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소프트웨어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패들렛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</si>
  <si>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(00543) (6/12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체육담당교원</t>
    </r>
    <r>
      <rPr>
        <sz val="9"/>
        <rFont val="gulim,Verdana"/>
        <family val="2"/>
      </rPr>
      <t>(1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피복비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(12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</si>
  <si>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현대백화점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무역센터점외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</si>
  <si>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 xml:space="preserve">(00540) </t>
    </r>
    <r>
      <rPr>
        <sz val="9"/>
        <rFont val="Dotum"/>
        <family val="3"/>
        <charset val="129"/>
      </rPr>
      <t>보건교사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의료인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(1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</si>
  <si>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박경아</t>
    </r>
  </si>
  <si>
    <r>
      <t xml:space="preserve">(00542)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관계놀이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</si>
  <si>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한국감성힐링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연구소</t>
    </r>
  </si>
  <si>
    <r>
      <t xml:space="preserve">(00553) </t>
    </r>
    <r>
      <rPr>
        <sz val="9"/>
        <rFont val="Dotum"/>
        <family val="3"/>
        <charset val="129"/>
      </rPr>
      <t>본관동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분전함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</si>
  <si>
    <r>
      <t>(00556)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(6/4~6/10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</si>
  <si>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 xml:space="preserve">(00554)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</si>
  <si>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rPr>
        <sz val="9"/>
        <rFont val="Dotum"/>
        <family val="3"/>
        <charset val="129"/>
      </rPr>
      <t>한국가스시설검사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</si>
  <si>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(00550)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</si>
  <si>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(00557) </t>
    </r>
    <r>
      <rPr>
        <sz val="9"/>
        <rFont val="Dotum"/>
        <family val="3"/>
        <charset val="129"/>
      </rPr>
      <t>본관</t>
    </r>
    <r>
      <rPr>
        <sz val="9"/>
        <rFont val="gulim,Verdana"/>
        <family val="2"/>
      </rPr>
      <t>-</t>
    </r>
    <r>
      <rPr>
        <sz val="9"/>
        <rFont val="Dotum"/>
        <family val="3"/>
        <charset val="129"/>
      </rPr>
      <t>체육관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연결통로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부착용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시트지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</si>
  <si>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태창종합광고</t>
    </r>
  </si>
  <si>
    <r>
      <t xml:space="preserve">(00563) </t>
    </r>
    <r>
      <rPr>
        <sz val="9"/>
        <rFont val="Dotum"/>
        <family val="3"/>
        <charset val="129"/>
      </rPr>
      <t>보건교사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의료인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(1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</si>
  <si>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주혜란</t>
    </r>
  </si>
  <si>
    <r>
      <t xml:space="preserve">(00555)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</si>
  <si>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</t>
    </r>
    <r>
      <rPr>
        <sz val="9"/>
        <rFont val="Dotum"/>
        <family val="3"/>
        <charset val="129"/>
      </rPr>
      <t>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한국승강기안전원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</si>
  <si>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(6/16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</si>
  <si>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(00386)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</si>
  <si>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(00544)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</si>
  <si>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>(00567)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2, 3, 4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(6/9, 6/10, 6/11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</si>
  <si>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 xml:space="preserve">(00568) </t>
    </r>
    <r>
      <rPr>
        <sz val="9"/>
        <rFont val="Dotum"/>
        <family val="3"/>
        <charset val="129"/>
      </rPr>
      <t>조달청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나라장터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</si>
  <si>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(00409) </t>
    </r>
    <r>
      <rPr>
        <sz val="9"/>
        <rFont val="Dotum"/>
        <family val="3"/>
        <charset val="129"/>
      </rPr>
      <t>【</t>
    </r>
    <r>
      <rPr>
        <sz val="9"/>
        <rFont val="gulim,Verdana"/>
        <family val="2"/>
      </rPr>
      <t>G2B</t>
    </r>
    <r>
      <rPr>
        <sz val="9"/>
        <rFont val="Dotum"/>
        <family val="3"/>
        <charset val="129"/>
      </rPr>
      <t>】교육용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태블릿</t>
    </r>
    <r>
      <rPr>
        <sz val="9"/>
        <rFont val="gulim,Verdana"/>
        <family val="2"/>
      </rPr>
      <t xml:space="preserve"> MDM </t>
    </r>
    <r>
      <rPr>
        <sz val="9"/>
        <rFont val="Dotum"/>
        <family val="3"/>
        <charset val="129"/>
      </rPr>
      <t>라이선스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</si>
  <si>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(00566) 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약품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</si>
  <si>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(00570) </t>
    </r>
    <r>
      <rPr>
        <sz val="9"/>
        <rFont val="Dotum"/>
        <family val="3"/>
        <charset val="129"/>
      </rPr>
      <t>방송시스템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점검비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</si>
  <si>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(00590) 2,3,5,6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소변검사비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추가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</si>
  <si>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(00588)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</si>
  <si>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황혜진외</t>
    </r>
    <r>
      <rPr>
        <sz val="9"/>
        <rFont val="gulim,Verdana"/>
        <family val="2"/>
      </rPr>
      <t xml:space="preserve"> 23</t>
    </r>
    <r>
      <rPr>
        <sz val="9"/>
        <rFont val="Dotum"/>
        <family val="3"/>
        <charset val="129"/>
      </rPr>
      <t>명</t>
    </r>
  </si>
  <si>
    <r>
      <rPr>
        <sz val="9"/>
        <rFont val="Dotum"/>
        <family val="3"/>
        <charset val="129"/>
      </rPr>
      <t>표효정외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명</t>
    </r>
  </si>
  <si>
    <r>
      <t>(00589)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</si>
  <si>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이은주</t>
    </r>
  </si>
  <si>
    <r>
      <t>(00016)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해충소독비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</si>
  <si>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(00582)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</si>
  <si>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(00594)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온누리상품권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구매</t>
    </r>
  </si>
  <si>
    <r>
      <t>(00596)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교재비</t>
    </r>
  </si>
  <si>
    <r>
      <t>(00597)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재료비</t>
    </r>
  </si>
  <si>
    <r>
      <t>(00008)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</si>
  <si>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(00062)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상반기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기계설비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유지관리점검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</si>
  <si>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(00604)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(6/19 </t>
    </r>
    <r>
      <rPr>
        <sz val="9"/>
        <rFont val="Dotum"/>
        <family val="3"/>
        <charset val="129"/>
      </rPr>
      <t>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</si>
  <si>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서영희</t>
    </r>
  </si>
  <si>
    <r>
      <t>(00605)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추가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</si>
  <si>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(00009)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</si>
  <si>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</si>
  <si>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(00574)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우편발송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</si>
  <si>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(00593)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화장실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</si>
  <si>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S2B(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</si>
  <si>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(00547)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</si>
  <si>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(00548)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</si>
  <si>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(00549)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(6.11)</t>
    </r>
  </si>
  <si>
    <r>
      <t>(00551)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)(S2b)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현미경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</si>
  <si>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버니스외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</si>
  <si>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(00560)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</si>
  <si>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광남에프앤비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콩킨누스</t>
    </r>
  </si>
  <si>
    <r>
      <t>(00558)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(6/11)</t>
    </r>
  </si>
  <si>
    <r>
      <t>(00584)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가람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</si>
  <si>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(00528)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</si>
  <si>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(00545)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>(6/9)</t>
    </r>
  </si>
  <si>
    <r>
      <t>(00522)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</si>
  <si>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(00583)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</si>
  <si>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오르스페이스</t>
    </r>
  </si>
  <si>
    <r>
      <t>(00523)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</si>
  <si>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(00524)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</si>
  <si>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(00525)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다솜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</si>
  <si>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(00526)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태양관측안경</t>
    </r>
  </si>
  <si>
    <r>
      <t>(00527)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슬라이드글라스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종</t>
    </r>
  </si>
  <si>
    <r>
      <t>(00503)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(5/30)</t>
    </r>
  </si>
  <si>
    <r>
      <t>(00506)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라온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</si>
  <si>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(00561)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</si>
  <si>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(00562)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</si>
  <si>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(00564) 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</si>
  <si>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(00634)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</si>
  <si>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 xml:space="preserve">(00606) </t>
    </r>
    <r>
      <rPr>
        <sz val="9"/>
        <rFont val="Dotum"/>
        <family val="3"/>
        <charset val="129"/>
      </rPr>
      <t>경조사비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</si>
  <si>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김현정</t>
    </r>
  </si>
  <si>
    <r>
      <t>(00621)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환경의날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학부모연수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친환경간식만들기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</si>
  <si>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정진화</t>
    </r>
  </si>
  <si>
    <r>
      <t>(00622)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</si>
  <si>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홍윤정외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명</t>
    </r>
  </si>
  <si>
    <r>
      <t>(00623)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(6/11~6/12 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**, 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</si>
  <si>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(00624)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</si>
  <si>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(00628)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조리실무사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대체인력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(6/16 </t>
    </r>
    <r>
      <rPr>
        <sz val="9"/>
        <rFont val="Dotum"/>
        <family val="3"/>
        <charset val="129"/>
      </rPr>
      <t>심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</si>
  <si>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(00007)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전기안전관리용역료</t>
    </r>
  </si>
  <si>
    <r>
      <t>(00012)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</si>
  <si>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(00011)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</si>
  <si>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(00081)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</si>
  <si>
    <r>
      <t>(00017)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</si>
  <si>
    <r>
      <t>(00014)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</si>
  <si>
    <r>
      <t>(00010)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</si>
  <si>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(00018)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당직용역료</t>
    </r>
  </si>
  <si>
    <r>
      <t>(00637)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</si>
  <si>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(00639)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</si>
  <si>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(00638)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</si>
  <si>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(00673)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</si>
  <si>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 xml:space="preserve">(00620) </t>
    </r>
    <r>
      <rPr>
        <sz val="9"/>
        <rFont val="Dotum"/>
        <family val="3"/>
        <charset val="129"/>
      </rPr>
      <t>본관동</t>
    </r>
    <r>
      <rPr>
        <sz val="9"/>
        <rFont val="gulim,Verdana"/>
        <family val="2"/>
      </rPr>
      <t xml:space="preserve"> CCTV </t>
    </r>
    <r>
      <rPr>
        <sz val="9"/>
        <rFont val="Dotum"/>
        <family val="3"/>
        <charset val="129"/>
      </rPr>
      <t>설치</t>
    </r>
  </si>
  <si>
    <r>
      <rPr>
        <sz val="9"/>
        <rFont val="Dotum"/>
        <family val="3"/>
        <charset val="129"/>
      </rPr>
      <t>한국씨텍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</si>
  <si>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(00629)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심폐소생술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</si>
  <si>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윤정미외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</si>
  <si>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(00640)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</si>
  <si>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(00641)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</si>
  <si>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(00635)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</si>
  <si>
    <r>
      <t>(00636)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수용비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</si>
  <si>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(00499)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반납</t>
    </r>
  </si>
  <si>
    <r>
      <t>(00339)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반납</t>
    </r>
  </si>
  <si>
    <r>
      <t>(00675)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위닉스</t>
    </r>
    <r>
      <rPr>
        <sz val="9"/>
        <rFont val="gulim,Verdana"/>
        <family val="2"/>
      </rPr>
      <t>)/</t>
    </r>
    <r>
      <rPr>
        <sz val="9"/>
        <rFont val="Dotum"/>
        <family val="3"/>
        <charset val="129"/>
      </rPr>
      <t>자동이체</t>
    </r>
  </si>
  <si>
    <r>
      <t>(00015)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</si>
  <si>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(00655)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</si>
  <si>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(00659)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조리실무사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(6/20, 6/23, 6/24 </t>
    </r>
    <r>
      <rPr>
        <sz val="9"/>
        <rFont val="Dotum"/>
        <family val="3"/>
        <charset val="129"/>
      </rPr>
      <t>심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</si>
  <si>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(00657)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</si>
  <si>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 xml:space="preserve">(00325) </t>
    </r>
    <r>
      <rPr>
        <sz val="9"/>
        <rFont val="Dotum"/>
        <family val="3"/>
        <charset val="129"/>
      </rPr>
      <t>교육청계약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,2025.6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계좌이체</t>
    </r>
    <r>
      <rPr>
        <sz val="9"/>
        <rFont val="gulim,Verdana"/>
        <family val="2"/>
      </rPr>
      <t>)</t>
    </r>
  </si>
  <si>
    <r>
      <t>(00660)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학교교육력제고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컨설팅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</si>
  <si>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김수영</t>
    </r>
  </si>
  <si>
    <r>
      <t xml:space="preserve">(00648) 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의약품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의약외품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</si>
  <si>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(00661) 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태블릿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</si>
  <si>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(00652) (</t>
    </r>
    <r>
      <rPr>
        <sz val="9"/>
        <rFont val="Dotum"/>
        <family val="3"/>
        <charset val="129"/>
      </rPr>
      <t>지출결의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상반기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측정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</si>
  <si>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rPr>
        <sz val="9"/>
        <rFont val="Dotum"/>
        <family val="3"/>
        <charset val="129"/>
      </rPr>
      <t>상록환경위생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</si>
  <si>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(00632)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</si>
  <si>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(00631)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</si>
  <si>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(00633)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</si>
  <si>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(00658)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</si>
  <si>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t>(00653)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</si>
  <si>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(00654)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</si>
  <si>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(00656)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</si>
  <si>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(00671)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</si>
  <si>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(00672)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학습지원강사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디딤돌강사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</si>
  <si>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(00674)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</si>
  <si>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(00676)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</si>
  <si>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(00680)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지방공무원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</si>
  <si>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황혜진외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</si>
  <si>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(00651)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</si>
  <si>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(00681)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</si>
  <si>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(00650)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</si>
  <si>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(00678)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</si>
  <si>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(00677)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</si>
  <si>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(00679)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초등학교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우유급식비</t>
    </r>
  </si>
  <si>
    <r>
      <t>(00160)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위탁처리비</t>
    </r>
  </si>
  <si>
    <r>
      <t>(00598)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</si>
  <si>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(00599)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</si>
  <si>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(00600)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</si>
  <si>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(00602)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</si>
  <si>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(00601)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</si>
  <si>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(00603)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</si>
  <si>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rPr>
        <sz val="9"/>
        <rFont val="Dotum"/>
        <family val="3"/>
        <charset val="129"/>
      </rPr>
      <t>대성유통</t>
    </r>
  </si>
  <si>
    <r>
      <t>(00662)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</si>
  <si>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>(00035)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전자조달시스템</t>
    </r>
    <r>
      <rPr>
        <sz val="9"/>
        <rFont val="gulim,Verdana"/>
        <family val="2"/>
      </rPr>
      <t xml:space="preserve">(eaT)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</si>
  <si>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(00702)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(s2b)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</si>
  <si>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(00701) 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모니터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</si>
  <si>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(00071)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</si>
  <si>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(00704)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(6/27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</si>
  <si>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(00705)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(6/23, 6/30 </t>
    </r>
    <r>
      <rPr>
        <sz val="9"/>
        <rFont val="Dotum"/>
        <family val="3"/>
        <charset val="129"/>
      </rPr>
      <t>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</si>
  <si>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(00706)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학교폭력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(6/2, 6/9, 6/16 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</si>
  <si>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(00708)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맹</t>
    </r>
    <r>
      <rPr>
        <sz val="9"/>
        <rFont val="gulim,Verdana"/>
        <family val="2"/>
      </rPr>
      <t xml:space="preserve">** </t>
    </r>
    <r>
      <rPr>
        <sz val="9"/>
        <rFont val="Dotum"/>
        <family val="3"/>
        <charset val="129"/>
      </rPr>
      <t>등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 xml:space="preserve">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</si>
  <si>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지현혜외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</si>
  <si>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(7/2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</si>
  <si>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(00707)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</si>
  <si>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(00713)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</si>
  <si>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홍윤정외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</si>
  <si>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(00718)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</si>
  <si>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(00719)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</si>
  <si>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(00720)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</si>
  <si>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(00721)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작가와의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만남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(6/30 </t>
    </r>
    <r>
      <rPr>
        <sz val="9"/>
        <rFont val="Dotum"/>
        <family val="3"/>
        <charset val="129"/>
      </rPr>
      <t>황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</si>
  <si>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황영미</t>
    </r>
  </si>
  <si>
    <r>
      <t>(00722)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학교폭력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(6/12 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</si>
  <si>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김은숙</t>
    </r>
  </si>
  <si>
    <r>
      <t>(00723)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발도로프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손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</si>
  <si>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(00725)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전래동요와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춤놀이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</si>
  <si>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(00726)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치어리딩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</si>
  <si>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 xml:space="preserve">(00724) </t>
    </r>
    <r>
      <rPr>
        <sz val="9"/>
        <rFont val="Dotum"/>
        <family val="3"/>
        <charset val="129"/>
      </rPr>
      <t>대안교육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급식비</t>
    </r>
  </si>
  <si>
    <r>
      <t>(00727)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사물놀이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황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</si>
  <si>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(00728)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연극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</si>
  <si>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(00647)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책을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읽어주는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사람들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낭독극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</si>
  <si>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책을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읽어주는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사람들</t>
    </r>
  </si>
  <si>
    <r>
      <t>(00734)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</si>
  <si>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(00735)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</si>
  <si>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조수아외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명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</si>
  <si>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(7/7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</si>
  <si>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 xml:space="preserve">(00595) </t>
    </r>
    <r>
      <rPr>
        <sz val="9"/>
        <rFont val="Dotum"/>
        <family val="3"/>
        <charset val="129"/>
      </rPr>
      <t>【</t>
    </r>
    <r>
      <rPr>
        <sz val="9"/>
        <rFont val="gulim,Verdana"/>
        <family val="2"/>
      </rPr>
      <t>G2B</t>
    </r>
    <r>
      <rPr>
        <sz val="9"/>
        <rFont val="Dotum"/>
        <family val="3"/>
        <charset val="129"/>
      </rPr>
      <t>】방송실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앰프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</si>
  <si>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(00738)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작가와의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만남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(7/4 </t>
    </r>
    <r>
      <rPr>
        <sz val="9"/>
        <rFont val="Dotum"/>
        <family val="3"/>
        <charset val="129"/>
      </rPr>
      <t>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</si>
  <si>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진형민</t>
    </r>
  </si>
  <si>
    <r>
      <t>(00739)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보결수당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</si>
  <si>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홍윤정외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</si>
  <si>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>(00618)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라온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</si>
  <si>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(00619)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</si>
  <si>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(00625)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</si>
  <si>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(00591)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</si>
  <si>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(00592)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장애학생통합교육자료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</si>
  <si>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미래앤</t>
    </r>
  </si>
  <si>
    <r>
      <t>(00616)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(6/19)</t>
    </r>
  </si>
  <si>
    <r>
      <t>(00617)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(6/19)</t>
    </r>
  </si>
  <si>
    <r>
      <rPr>
        <sz val="9"/>
        <rFont val="Dotum"/>
        <family val="3"/>
        <charset val="129"/>
      </rPr>
      <t>이미엽</t>
    </r>
  </si>
  <si>
    <r>
      <t>(00626)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생태전환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</si>
  <si>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(00579)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폐기기록물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묶음용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노끈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</si>
  <si>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보영상회</t>
    </r>
  </si>
  <si>
    <r>
      <t>(00580)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</si>
  <si>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(00581)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라온반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</si>
  <si>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(00587)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(6.18)</t>
    </r>
  </si>
  <si>
    <r>
      <t>(00572)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'</t>
    </r>
    <r>
      <rPr>
        <sz val="9"/>
        <rFont val="Dotum"/>
        <family val="3"/>
        <charset val="129"/>
      </rPr>
      <t>희망나눔공동체</t>
    </r>
    <r>
      <rPr>
        <sz val="9"/>
        <rFont val="gulim,Verdana"/>
        <family val="2"/>
      </rPr>
      <t xml:space="preserve">' 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</si>
  <si>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(00573)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(6/17)</t>
    </r>
  </si>
  <si>
    <r>
      <t>(00565)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교사용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책상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</si>
  <si>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(00571)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다솜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</si>
  <si>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(00575)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</si>
  <si>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(00576)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</si>
  <si>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(00577)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텃밭에서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부엌으로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</si>
  <si>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(00559)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표고버섯</t>
    </r>
  </si>
  <si>
    <r>
      <t>(00711)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</si>
  <si>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(00663)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폐기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기록물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이송에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</si>
  <si>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더매거진</t>
    </r>
  </si>
  <si>
    <r>
      <t>(00664)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)2025.7.1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인사발령에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</si>
  <si>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논골집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수서점</t>
    </r>
    <r>
      <rPr>
        <sz val="9"/>
        <rFont val="gulim,Verdana"/>
        <family val="2"/>
      </rPr>
      <t>)</t>
    </r>
  </si>
  <si>
    <r>
      <t>(00665)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</si>
  <si>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(00666)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캠프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</si>
  <si>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(00642)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교통안전지도활성화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(S2B)</t>
    </r>
  </si>
  <si>
    <r>
      <rPr>
        <sz val="9"/>
        <rFont val="Dotum"/>
        <family val="3"/>
        <charset val="129"/>
      </rPr>
      <t>리본스쿨외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</si>
  <si>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(00643)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작가와의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만남관련</t>
    </r>
    <r>
      <rPr>
        <sz val="9"/>
        <rFont val="gulim,Verdana"/>
        <family val="2"/>
      </rPr>
      <t xml:space="preserve"> 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</si>
  <si>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(00649)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실과수업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</si>
  <si>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(00668)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(6/25)</t>
    </r>
  </si>
  <si>
    <r>
      <t>(00644)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양팔저울</t>
    </r>
  </si>
  <si>
    <r>
      <t>(00645)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마음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</si>
  <si>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(00646)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</si>
  <si>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주식회사트라가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삼성점</t>
    </r>
    <r>
      <rPr>
        <sz val="9"/>
        <rFont val="gulim,Verdana"/>
        <family val="2"/>
      </rPr>
      <t>)</t>
    </r>
  </si>
  <si>
    <r>
      <t>(00607)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</si>
  <si>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(00608)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백합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종</t>
    </r>
  </si>
  <si>
    <r>
      <t>(00611)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다솜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</si>
  <si>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디지탈케이에스</t>
    </r>
  </si>
  <si>
    <r>
      <t>(00612)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</si>
  <si>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(00613)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다솜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</si>
  <si>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(00614)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</si>
  <si>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(00615)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아람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</si>
  <si>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(00627)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(6/23)</t>
    </r>
  </si>
  <si>
    <r>
      <t>(00684)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(6/29)</t>
    </r>
  </si>
  <si>
    <r>
      <rPr>
        <sz val="9"/>
        <rFont val="Dotum"/>
        <family val="3"/>
        <charset val="129"/>
      </rPr>
      <t>본죽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자곡점</t>
    </r>
  </si>
  <si>
    <r>
      <t>(00683)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(6/28)</t>
    </r>
  </si>
  <si>
    <r>
      <t>(00670)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생태활동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구입비지출</t>
    </r>
  </si>
  <si>
    <r>
      <t>(00685)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(6/27)</t>
    </r>
  </si>
  <si>
    <r>
      <t>(00697)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영어디딤돌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참여학생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식문화체험비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</si>
  <si>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도미노피자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장지점</t>
    </r>
  </si>
  <si>
    <r>
      <t>(00698)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</si>
  <si>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(00699)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</si>
  <si>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(00740)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(7/3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</si>
  <si>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(00578) (7/12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</si>
  <si>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(00755) 2025 Wee</t>
    </r>
    <r>
      <rPr>
        <sz val="9"/>
        <rFont val="Dotum"/>
        <family val="3"/>
        <charset val="129"/>
      </rPr>
      <t>클래스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종합심리검사비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</si>
  <si>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수서종합사회복지관</t>
    </r>
  </si>
  <si>
    <r>
      <t xml:space="preserve">(00736) 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수서아동가족상담터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심리상담비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</si>
  <si>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(00760)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(7/7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</si>
  <si>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(00761)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</t>
    </r>
    <r>
      <rPr>
        <sz val="9"/>
        <rFont val="Dotum"/>
        <family val="3"/>
        <charset val="129"/>
      </rPr>
      <t>작가와의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만남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원고료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</si>
  <si>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김남중</t>
    </r>
  </si>
  <si>
    <r>
      <t>(00763)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>**</t>
    </r>
    <r>
      <rPr>
        <sz val="9"/>
        <rFont val="Dotum"/>
        <family val="3"/>
        <charset val="129"/>
      </rPr>
      <t>작가와의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만남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원고료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</si>
  <si>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최은옥</t>
    </r>
  </si>
  <si>
    <r>
      <t>(00759)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</si>
  <si>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조은숙외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명</t>
    </r>
  </si>
  <si>
    <r>
      <rPr>
        <sz val="9"/>
        <rFont val="Dotum"/>
        <family val="3"/>
        <charset val="129"/>
      </rPr>
      <t>표효정외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</si>
  <si>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(00762)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</si>
  <si>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(00742)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2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</si>
  <si>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(00769)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</si>
  <si>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(00596)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교재비건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</si>
  <si>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(00597)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재료비건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</si>
  <si>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(00768)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성폭력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예방교육비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</si>
  <si>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(00733)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</si>
  <si>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토탈피아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</si>
  <si>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(7/14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</si>
  <si>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(00386)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</si>
  <si>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(00786)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(7/11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</si>
  <si>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(7/16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</si>
  <si>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(00635)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</si>
  <si>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(00596)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교재비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</si>
  <si>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(00774)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</si>
  <si>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 xml:space="preserve">(00767)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</si>
  <si>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(00597)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재료비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</si>
  <si>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(00636) 1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수용비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</si>
  <si>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(00788)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(7/11 </t>
    </r>
    <r>
      <rPr>
        <sz val="9"/>
        <rFont val="Dotum"/>
        <family val="3"/>
        <charset val="129"/>
      </rPr>
      <t>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</si>
  <si>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(00809)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보호자연수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생태전환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실천가되기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</si>
  <si>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(00796) </t>
    </r>
    <r>
      <rPr>
        <sz val="9"/>
        <rFont val="Dotum"/>
        <family val="3"/>
        <charset val="129"/>
      </rPr>
      <t>방송실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컨트롤러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점검비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</si>
  <si>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(00811)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태블릿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배터리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</si>
  <si>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(00813) </t>
    </r>
    <r>
      <rPr>
        <sz val="9"/>
        <rFont val="Dotum"/>
        <family val="3"/>
        <charset val="129"/>
      </rPr>
      <t>어린이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</si>
  <si>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</t>
    </r>
    <r>
      <rPr>
        <sz val="9"/>
        <rFont val="Dotum"/>
        <family val="3"/>
        <charset val="129"/>
      </rPr>
      <t>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한국장애인이워크협회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한국시험검사기술원</t>
    </r>
  </si>
  <si>
    <r>
      <t xml:space="preserve">(00818) </t>
    </r>
    <r>
      <rPr>
        <sz val="9"/>
        <rFont val="Dotum"/>
        <family val="3"/>
        <charset val="129"/>
      </rPr>
      <t>여름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해충퇴치를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</si>
  <si>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(00817)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</si>
  <si>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(00827)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</si>
  <si>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(00830)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</si>
  <si>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김은주</t>
    </r>
  </si>
  <si>
    <r>
      <t>(00821)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</si>
  <si>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(00819)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</si>
  <si>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(00824)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</si>
  <si>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숲에서놀자</t>
    </r>
  </si>
  <si>
    <r>
      <t>(00831)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</si>
  <si>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(7/21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</si>
  <si>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(00008)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</si>
  <si>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(00782)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</si>
  <si>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(00789)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</si>
  <si>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(00669)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연극제를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기기대여비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</si>
  <si>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어니스트씨어터</t>
    </r>
  </si>
  <si>
    <r>
      <t>(00737)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미생물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검사를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퀵서비스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</si>
  <si>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화물프린스</t>
    </r>
  </si>
  <si>
    <r>
      <t>(00013)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</si>
  <si>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(00009)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</si>
  <si>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(00744)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청소용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</si>
  <si>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(00745)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(7/4)</t>
    </r>
  </si>
  <si>
    <r>
      <rPr>
        <sz val="9"/>
        <rFont val="Dotum"/>
        <family val="3"/>
        <charset val="129"/>
      </rPr>
      <t>김가네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강남자곡점</t>
    </r>
  </si>
  <si>
    <r>
      <t>(00748)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(7/4)</t>
    </r>
  </si>
  <si>
    <r>
      <t>OTTO</t>
    </r>
    <r>
      <rPr>
        <sz val="9"/>
        <rFont val="Dotum"/>
        <family val="3"/>
        <charset val="129"/>
      </rPr>
      <t>김밥</t>
    </r>
  </si>
  <si>
    <r>
      <t>(00749)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)(S2B)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</si>
  <si>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S2B(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>)</t>
    </r>
  </si>
  <si>
    <r>
      <t>(00765)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마을탐방</t>
    </r>
    <r>
      <rPr>
        <sz val="9"/>
        <rFont val="gulim,Verdana"/>
        <family val="2"/>
      </rPr>
      <t>(7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</si>
  <si>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카페두레브외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</si>
  <si>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(00751)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</si>
  <si>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(00752)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</si>
  <si>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주식회사플래티넘페이먼츠</t>
    </r>
  </si>
  <si>
    <r>
      <t>(00805)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</si>
  <si>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(00729)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</si>
  <si>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(00730)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</si>
  <si>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(00731)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마을탐방활동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쿠킹클래스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</si>
  <si>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(00732)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</si>
  <si>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(00750)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실과수업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</si>
  <si>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(00712)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월경용품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</si>
  <si>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(00714)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실과수업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</si>
  <si>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(00715)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시약병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건</t>
    </r>
  </si>
  <si>
    <r>
      <t>(00716)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마음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</si>
  <si>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(00717)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바론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</si>
  <si>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(00741)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</si>
  <si>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(00703)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(6/ 30 )</t>
    </r>
  </si>
  <si>
    <r>
      <rPr>
        <sz val="9"/>
        <rFont val="Dotum"/>
        <family val="3"/>
        <charset val="129"/>
      </rPr>
      <t>파리바게뜨외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</si>
  <si>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(00803)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</si>
  <si>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(00808)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</si>
  <si>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(00806)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</si>
  <si>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(00807)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</si>
  <si>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(00754)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시설관리주무관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온열질환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예방용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</si>
  <si>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(00764)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(7/9 )</t>
    </r>
  </si>
  <si>
    <r>
      <t>(00766)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부서별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업무별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</si>
  <si>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복호두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문정점외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</si>
  <si>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(00779)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커피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</si>
  <si>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(00770)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비교과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</si>
  <si>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OTTO</t>
    </r>
    <r>
      <rPr>
        <sz val="9"/>
        <rFont val="Dotum"/>
        <family val="3"/>
        <charset val="129"/>
      </rPr>
      <t>김밥문정직직영점</t>
    </r>
  </si>
  <si>
    <r>
      <t>(00771)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</si>
  <si>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(00772)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</si>
  <si>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(00773)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</si>
  <si>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맘스터치</t>
    </r>
  </si>
  <si>
    <r>
      <t>(00775)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</si>
  <si>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그라운드오리진</t>
    </r>
  </si>
  <si>
    <r>
      <t>(00776)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</si>
  <si>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(00777)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꿈잼교실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지출</t>
    </r>
  </si>
  <si>
    <r>
      <t>(00778)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</si>
  <si>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송파</t>
    </r>
    <r>
      <rPr>
        <sz val="9"/>
        <rFont val="gulim,Verdana"/>
        <family val="2"/>
      </rPr>
      <t>AU</t>
    </r>
    <r>
      <rPr>
        <sz val="9"/>
        <rFont val="Dotum"/>
        <family val="3"/>
        <charset val="129"/>
      </rPr>
      <t>커피</t>
    </r>
  </si>
  <si>
    <r>
      <t>(00743)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아람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</si>
  <si>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(00746)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라온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</si>
  <si>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(00747)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</si>
  <si>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(00753)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2,3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기초학력책임지도제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</si>
  <si>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(00781)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범용인증서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갱신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</si>
  <si>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한국전자인증주식회사</t>
    </r>
  </si>
  <si>
    <r>
      <t>(00797)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도서관교육활동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</si>
  <si>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(00798)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</si>
  <si>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(00802) (7/27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컬러링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</si>
  <si>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(00547) (</t>
    </r>
    <r>
      <rPr>
        <sz val="9"/>
        <rFont val="Dotum"/>
        <family val="3"/>
        <charset val="129"/>
      </rPr>
      <t>과목경정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</si>
  <si>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(00310) (</t>
    </r>
    <r>
      <rPr>
        <sz val="9"/>
        <rFont val="Dotum"/>
        <family val="3"/>
        <charset val="129"/>
      </rPr>
      <t>과목경정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</si>
  <si>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(00396) (</t>
    </r>
    <r>
      <rPr>
        <sz val="9"/>
        <rFont val="Dotum"/>
        <family val="3"/>
        <charset val="129"/>
      </rPr>
      <t>과목경정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</si>
  <si>
    <r>
      <t>(00839)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</t>
    </r>
    <r>
      <rPr>
        <sz val="9"/>
        <rFont val="Dotum"/>
        <family val="3"/>
        <charset val="129"/>
      </rPr>
      <t>작가와의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만남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교통비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</si>
  <si>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(00841)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디지털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리터러시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</si>
  <si>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심보라</t>
    </r>
  </si>
  <si>
    <r>
      <t>(00843)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(7/18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</si>
  <si>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(00844)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</si>
  <si>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(00845)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학습지원강사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디딤돌강사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</si>
  <si>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 xml:space="preserve">(00325) </t>
    </r>
    <r>
      <rPr>
        <sz val="9"/>
        <rFont val="Dotum"/>
        <family val="3"/>
        <charset val="129"/>
      </rPr>
      <t>교육청계약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,2025.7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계좌이체</t>
    </r>
    <r>
      <rPr>
        <sz val="9"/>
        <rFont val="gulim,Verdana"/>
        <family val="2"/>
      </rPr>
      <t>)</t>
    </r>
  </si>
  <si>
    <r>
      <t>(00853)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전래동요와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춤놀이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</si>
  <si>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(00854)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연극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</si>
  <si>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(00855)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사물놀이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황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</si>
  <si>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(00840)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기악합주용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악기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</si>
  <si>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수성악기</t>
    </r>
  </si>
  <si>
    <r>
      <t>(00757)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>)</t>
    </r>
  </si>
  <si>
    <r>
      <t>(00758)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옥상등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기타</t>
    </r>
    <r>
      <rPr>
        <sz val="9"/>
        <rFont val="gulim,Verdana"/>
        <family val="2"/>
      </rPr>
      <t>)</t>
    </r>
  </si>
  <si>
    <r>
      <t>(00780)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</si>
  <si>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(00858)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</si>
  <si>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(00014)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</si>
  <si>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(00784)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유플러스</t>
    </r>
    <r>
      <rPr>
        <sz val="9"/>
        <rFont val="gulim,Verdana"/>
        <family val="2"/>
      </rPr>
      <t>)</t>
    </r>
  </si>
  <si>
    <r>
      <t>(00785)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</si>
  <si>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(00081)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</si>
  <si>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</si>
  <si>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</si>
  <si>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</si>
  <si>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</si>
  <si>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(00007)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전기안전관리용역료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</si>
  <si>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</si>
  <si>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(00861)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</si>
  <si>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(00856)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밴드부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버스킹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방송케이블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</si>
  <si>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(00864)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</si>
  <si>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(00871)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</si>
  <si>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(00878)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관계놀이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</si>
  <si>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(00160)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위탁처리비</t>
    </r>
  </si>
  <si>
    <r>
      <t>(00885)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위닉스</t>
    </r>
    <r>
      <rPr>
        <sz val="9"/>
        <rFont val="gulim,Verdana"/>
        <family val="2"/>
      </rPr>
      <t>)/</t>
    </r>
    <r>
      <rPr>
        <sz val="9"/>
        <rFont val="Dotum"/>
        <family val="3"/>
        <charset val="129"/>
      </rPr>
      <t>자동이체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</si>
  <si>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(7/28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</si>
  <si>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(00528) (</t>
    </r>
    <r>
      <rPr>
        <sz val="9"/>
        <rFont val="Dotum"/>
        <family val="3"/>
        <charset val="129"/>
      </rPr>
      <t>반납결의</t>
    </r>
    <r>
      <rPr>
        <sz val="9"/>
        <rFont val="gulim,Verdana"/>
        <family val="2"/>
      </rPr>
      <t>)(6/27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일부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취소에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반납</t>
    </r>
  </si>
  <si>
    <r>
      <t>(00882)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수업시수경감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</si>
  <si>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(00884)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</si>
  <si>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조수아외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</si>
  <si>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(00883)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</si>
  <si>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(7/29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</si>
  <si>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(00887)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(7/28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</si>
  <si>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(00888)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</si>
  <si>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(00865)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프린트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헤드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</si>
  <si>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(00886)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</si>
  <si>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(00832)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</si>
  <si>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(00833)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</si>
  <si>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(00835)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</si>
  <si>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(00889)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</si>
  <si>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rPr>
        <sz val="9"/>
        <rFont val="Dotum"/>
        <family val="3"/>
        <charset val="129"/>
      </rPr>
      <t>황희정외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</si>
  <si>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>(00862)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</si>
  <si>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(00896)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</si>
  <si>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허윤영외</t>
    </r>
    <r>
      <rPr>
        <sz val="9"/>
        <rFont val="gulim,Verdana"/>
        <family val="2"/>
      </rPr>
      <t xml:space="preserve"> 13</t>
    </r>
    <r>
      <rPr>
        <sz val="9"/>
        <rFont val="Dotum"/>
        <family val="3"/>
        <charset val="129"/>
      </rPr>
      <t>명</t>
    </r>
  </si>
  <si>
    <r>
      <t>(00837)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</si>
  <si>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(00872)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</si>
  <si>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(00873)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상하수도요금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</si>
  <si>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(00901)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특수교육대상자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</si>
  <si>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이영인</t>
    </r>
  </si>
  <si>
    <r>
      <t xml:space="preserve">(00900) </t>
    </r>
    <r>
      <rPr>
        <sz val="9"/>
        <rFont val="Dotum"/>
        <family val="3"/>
        <charset val="129"/>
      </rPr>
      <t>대안교육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</si>
  <si>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(00903)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</si>
  <si>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(00890)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</si>
  <si>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>(00071)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</si>
  <si>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(00687)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</si>
  <si>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(00686)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</si>
  <si>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(00690)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</si>
  <si>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(00688)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</si>
  <si>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(00689)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</si>
  <si>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(00691)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</si>
  <si>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원탑푸드</t>
    </r>
  </si>
  <si>
    <r>
      <t>(00902)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초등학교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우유급식비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</si>
  <si>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(00857)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후드청소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</si>
  <si>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크린엔</t>
    </r>
  </si>
  <si>
    <r>
      <t>(00874)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7~8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(7/24~8/1 </t>
    </r>
    <r>
      <rPr>
        <sz val="9"/>
        <rFont val="Dotum"/>
        <family val="3"/>
        <charset val="129"/>
      </rPr>
      <t>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</si>
  <si>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서명란</t>
    </r>
  </si>
  <si>
    <r>
      <t>(00904)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</si>
  <si>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(00905)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(s2b)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</si>
  <si>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(00569) 1,4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건강검진비</t>
    </r>
    <r>
      <rPr>
        <sz val="9"/>
        <rFont val="gulim,Verdana"/>
        <family val="2"/>
      </rPr>
      <t>/247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아이엠씨강남의원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</si>
  <si>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아이엠씨강남의원</t>
    </r>
  </si>
  <si>
    <r>
      <t>(00585)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결핵검진비</t>
    </r>
    <r>
      <rPr>
        <sz val="9"/>
        <rFont val="gulim,Verdana"/>
        <family val="2"/>
      </rPr>
      <t>(38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</si>
  <si>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(8/04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</si>
  <si>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(00823)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</si>
  <si>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(00909)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(7/28~7/29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</si>
  <si>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(00910)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7~8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(7/30~8/1 </t>
    </r>
    <r>
      <rPr>
        <sz val="9"/>
        <rFont val="Dotum"/>
        <family val="3"/>
        <charset val="129"/>
      </rPr>
      <t>문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</si>
  <si>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문제향</t>
    </r>
  </si>
  <si>
    <r>
      <t>(00911)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7~8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</si>
  <si>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정선아</t>
    </r>
  </si>
  <si>
    <r>
      <t>(00912)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꿈을키우는도약캠프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</si>
  <si>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송재린외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</si>
  <si>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(00852)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</si>
  <si>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(00825)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월「새꿈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더하기</t>
    </r>
    <r>
      <rPr>
        <sz val="9"/>
        <rFont val="gulim,Verdana"/>
        <family val="2"/>
      </rPr>
      <t>:</t>
    </r>
    <r>
      <rPr>
        <sz val="9"/>
        <rFont val="Dotum"/>
        <family val="3"/>
        <charset val="129"/>
      </rPr>
      <t>우리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함께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무대로」공연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식문화체험</t>
    </r>
  </si>
  <si>
    <r>
      <rPr>
        <sz val="9"/>
        <rFont val="Dotum"/>
        <family val="3"/>
        <charset val="129"/>
      </rPr>
      <t>이디야외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</si>
  <si>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(00816)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공무직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</si>
  <si>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(00826)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</si>
  <si>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(00828)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'</t>
    </r>
    <r>
      <rPr>
        <sz val="9"/>
        <rFont val="Dotum"/>
        <family val="3"/>
        <charset val="129"/>
      </rPr>
      <t>빵빵한가족</t>
    </r>
    <r>
      <rPr>
        <sz val="9"/>
        <rFont val="gulim,Verdana"/>
        <family val="2"/>
      </rPr>
      <t xml:space="preserve">' </t>
    </r>
    <r>
      <rPr>
        <sz val="9"/>
        <rFont val="Dotum"/>
        <family val="3"/>
        <charset val="129"/>
      </rPr>
      <t>가족캠프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</si>
  <si>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(00829)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꿈잼교실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지출</t>
    </r>
  </si>
  <si>
    <r>
      <t>(00794)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</si>
  <si>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(00812)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강연하는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아이들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</si>
  <si>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(00814)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침구류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</si>
  <si>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크린토피아</t>
    </r>
  </si>
  <si>
    <r>
      <t>(00815)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침구류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</si>
  <si>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(00820)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텃밭에서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부엌으로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</si>
  <si>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스쿨푸드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문정딜리버리점</t>
    </r>
  </si>
  <si>
    <r>
      <t>(00822)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</si>
  <si>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(00787)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4</t>
    </r>
    <r>
      <rPr>
        <sz val="9"/>
        <rFont val="Dotum"/>
        <family val="3"/>
        <charset val="129"/>
      </rPr>
      <t>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회의용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</si>
  <si>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(00791)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어울림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</si>
  <si>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(00793)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체육교구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</si>
  <si>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(00795)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찾아오는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현장체험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</si>
  <si>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송파시니어클럽</t>
    </r>
  </si>
  <si>
    <r>
      <t>(00801)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</t>
    </r>
    <r>
      <rPr>
        <sz val="9"/>
        <rFont val="gulim,Verdana"/>
        <family val="2"/>
      </rPr>
      <t>!</t>
    </r>
    <r>
      <rPr>
        <sz val="9"/>
        <rFont val="Dotum"/>
        <family val="3"/>
        <charset val="129"/>
      </rPr>
      <t>재미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</si>
  <si>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(00792)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마을탐방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</si>
  <si>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(00799)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꿈잼교실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지출</t>
    </r>
  </si>
  <si>
    <r>
      <t>(00834)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</si>
  <si>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강남</t>
    </r>
    <r>
      <rPr>
        <sz val="9"/>
        <rFont val="gulim,Verdana"/>
        <family val="2"/>
      </rPr>
      <t xml:space="preserve"> THE Psalms 2</t>
    </r>
  </si>
  <si>
    <r>
      <t>(00899)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꿈을키우는도약캠프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</si>
  <si>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파파존스</t>
    </r>
  </si>
  <si>
    <r>
      <t>(00894)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우편요금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</si>
  <si>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(00876)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(7/28)</t>
    </r>
  </si>
  <si>
    <r>
      <t>GS</t>
    </r>
    <r>
      <rPr>
        <sz val="9"/>
        <rFont val="Dotum"/>
        <family val="3"/>
        <charset val="129"/>
      </rPr>
      <t>강남세곡점</t>
    </r>
  </si>
  <si>
    <r>
      <t>(00891)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</si>
  <si>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(00892)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</si>
  <si>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(00875)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</si>
  <si>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(00881)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</t>
    </r>
    <r>
      <rPr>
        <sz val="9"/>
        <rFont val="gulim,Verdana"/>
        <family val="2"/>
      </rPr>
      <t>(wee)</t>
    </r>
    <r>
      <rPr>
        <sz val="9"/>
        <rFont val="Dotum"/>
        <family val="3"/>
        <charset val="129"/>
      </rPr>
      <t>클래스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계획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</si>
  <si>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(00877)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생활교육을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긴급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개최</t>
    </r>
  </si>
  <si>
    <r>
      <t>(00846)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(7/23 )</t>
    </r>
  </si>
  <si>
    <r>
      <t>(00866)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</si>
  <si>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(00867)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</si>
  <si>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(00868)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</t>
    </r>
    <r>
      <rPr>
        <sz val="9"/>
        <rFont val="gulim,Verdana"/>
        <family val="2"/>
      </rPr>
      <t>(wee)</t>
    </r>
    <r>
      <rPr>
        <sz val="9"/>
        <rFont val="Dotum"/>
        <family val="3"/>
        <charset val="129"/>
      </rPr>
      <t>클래스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계획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</si>
  <si>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(00869)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</t>
    </r>
    <r>
      <rPr>
        <sz val="9"/>
        <rFont val="gulim,Verdana"/>
        <family val="2"/>
      </rPr>
      <t>!</t>
    </r>
    <r>
      <rPr>
        <sz val="9"/>
        <rFont val="Dotum"/>
        <family val="3"/>
        <charset val="129"/>
      </rPr>
      <t>재미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</si>
  <si>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(00870)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논의를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업무협의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</si>
  <si>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(00848)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여름대의원회의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</si>
  <si>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(00849)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</t>
    </r>
    <r>
      <rPr>
        <sz val="9"/>
        <rFont val="gulim,Verdana"/>
        <family val="2"/>
      </rPr>
      <t>(wee)</t>
    </r>
    <r>
      <rPr>
        <sz val="9"/>
        <rFont val="Dotum"/>
        <family val="3"/>
        <charset val="129"/>
      </rPr>
      <t>클래스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계획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</si>
  <si>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(00860)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어울림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</si>
  <si>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깐부치킨</t>
    </r>
  </si>
  <si>
    <r>
      <t>(00847)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1,5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기초학력책임지도제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</si>
  <si>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(00850)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나눔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</si>
  <si>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송화잔기지떡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영등포점</t>
    </r>
  </si>
  <si>
    <r>
      <t>(00851)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바론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</si>
  <si>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(00897)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(7/30)</t>
    </r>
  </si>
  <si>
    <r>
      <t>(00898)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</si>
  <si>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(00859) (8/12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꿈을키우는도약캠프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</si>
  <si>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(00913)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교과서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배부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서버실ㆍ책방ㆍ실과실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정리에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(8/1 </t>
    </r>
    <r>
      <rPr>
        <sz val="9"/>
        <rFont val="Dotum"/>
        <family val="3"/>
        <charset val="129"/>
      </rPr>
      <t>오</t>
    </r>
    <r>
      <rPr>
        <sz val="9"/>
        <rFont val="gulim,Verdana"/>
        <family val="2"/>
      </rPr>
      <t xml:space="preserve">*, 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</si>
  <si>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홍승범외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</si>
  <si>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(00914)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개인부담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정산환급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반환금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이체</t>
    </r>
  </si>
  <si>
    <r>
      <t xml:space="preserve">(00917) 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수서아동가족상담터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심리상담비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</si>
  <si>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(00759) (</t>
    </r>
    <r>
      <rPr>
        <sz val="9"/>
        <rFont val="Dotum"/>
        <family val="3"/>
        <charset val="129"/>
      </rPr>
      <t>반납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</si>
  <si>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(00921) 2025 Wee</t>
    </r>
    <r>
      <rPr>
        <sz val="9"/>
        <rFont val="Dotum"/>
        <family val="3"/>
        <charset val="129"/>
      </rPr>
      <t>클래스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종합심리검사비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</si>
  <si>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(00863) 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전기온수기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</si>
  <si>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(00927)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</si>
  <si>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(00879) </t>
    </r>
    <r>
      <rPr>
        <sz val="9"/>
        <rFont val="Dotum"/>
        <family val="3"/>
        <charset val="129"/>
      </rPr>
      <t>소방시설등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자체점검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실시결과에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</si>
  <si>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일호</t>
    </r>
  </si>
  <si>
    <r>
      <t>(00928)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</t>
    </r>
    <r>
      <rPr>
        <sz val="9"/>
        <rFont val="gulim,Verdana"/>
        <family val="2"/>
      </rPr>
      <t>!</t>
    </r>
    <r>
      <rPr>
        <sz val="9"/>
        <rFont val="Dotum"/>
        <family val="3"/>
        <charset val="129"/>
      </rPr>
      <t>재미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</si>
  <si>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조윤주</t>
    </r>
  </si>
  <si>
    <r>
      <t>(00929)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Wee</t>
    </r>
    <r>
      <rPr>
        <sz val="9"/>
        <rFont val="Dotum"/>
        <family val="3"/>
        <charset val="129"/>
      </rPr>
      <t>클래스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</si>
  <si>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손혜경</t>
    </r>
  </si>
  <si>
    <r>
      <t xml:space="preserve">(00037)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(8/13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</si>
  <si>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(00925)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</si>
  <si>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>(00015)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</si>
  <si>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(00386)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지급</t>
    </r>
  </si>
  <si>
    <r>
      <t>(00920)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2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</si>
  <si>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(8/18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</si>
  <si>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(00931)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</si>
  <si>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정양숙외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</si>
  <si>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(00940)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4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(8/11~8/13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</si>
  <si>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(00941)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(8/11~8/12 </t>
    </r>
    <r>
      <rPr>
        <sz val="9"/>
        <rFont val="Dotum"/>
        <family val="3"/>
        <charset val="129"/>
      </rPr>
      <t>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</si>
  <si>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(00942)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</si>
  <si>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정은정외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</si>
  <si>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>(00932)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업무협의용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</si>
  <si>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(00933)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</t>
    </r>
    <r>
      <rPr>
        <sz val="9"/>
        <rFont val="gulim,Verdana"/>
        <family val="2"/>
      </rPr>
      <t>!</t>
    </r>
    <r>
      <rPr>
        <sz val="9"/>
        <rFont val="Dotum"/>
        <family val="3"/>
        <charset val="129"/>
      </rPr>
      <t>재미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</si>
  <si>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애슐리퀸즈</t>
    </r>
  </si>
  <si>
    <r>
      <t>(00934)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</si>
  <si>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(00919)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핸드타올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</si>
  <si>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(00922)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(8/7)</t>
    </r>
  </si>
  <si>
    <r>
      <t>(00915)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1~5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</si>
  <si>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스마트스쿨몰외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</si>
  <si>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rPr>
        <sz val="9"/>
        <rFont val="Dotum"/>
        <family val="3"/>
        <charset val="129"/>
      </rPr>
      <t>소프톡외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</si>
  <si>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(00916)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택배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정리용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페인트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</si>
  <si>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채움플래닛</t>
    </r>
  </si>
  <si>
    <r>
      <t>(00918)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택배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정리용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조립식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앵글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</si>
  <si>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(00906)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우편발송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</si>
  <si>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(00907)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꿈을키우는도약캠프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</si>
  <si>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(00908)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</si>
  <si>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(00926)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【</t>
    </r>
    <r>
      <rPr>
        <sz val="9"/>
        <rFont val="gulim,Verdana"/>
        <family val="2"/>
      </rPr>
      <t>S2B</t>
    </r>
    <r>
      <rPr>
        <sz val="9"/>
        <rFont val="Dotum"/>
        <family val="3"/>
        <charset val="129"/>
      </rPr>
      <t>】늘봄</t>
    </r>
    <r>
      <rPr>
        <sz val="9"/>
        <rFont val="gulim,Verdana"/>
        <family val="2"/>
      </rPr>
      <t xml:space="preserve">1 </t>
    </r>
    <r>
      <rPr>
        <sz val="9"/>
        <rFont val="Dotum"/>
        <family val="3"/>
        <charset val="129"/>
      </rPr>
      <t>모니터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</si>
  <si>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에듀에이드</t>
    </r>
  </si>
  <si>
    <r>
      <t>(00893) (8/27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알라딘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마일리지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사용</t>
    </r>
    <r>
      <rPr>
        <sz val="9"/>
        <rFont val="gulim,Verdana"/>
        <family val="2"/>
      </rPr>
      <t>)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</si>
  <si>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(8/20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</si>
  <si>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(00016)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해충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</si>
  <si>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(00008)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</si>
  <si>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(00009)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</si>
  <si>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(00944)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특수교육대상자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</si>
  <si>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(00946)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상반기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중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조합원교육비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</si>
  <si>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최성숙</t>
    </r>
  </si>
  <si>
    <r>
      <t>(00947)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특별활동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</si>
  <si>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윤혜진</t>
    </r>
  </si>
  <si>
    <r>
      <t xml:space="preserve">(00325) </t>
    </r>
    <r>
      <rPr>
        <sz val="9"/>
        <rFont val="Dotum"/>
        <family val="3"/>
        <charset val="129"/>
      </rPr>
      <t>교육청계약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,2025.8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계좌이체</t>
    </r>
    <r>
      <rPr>
        <sz val="9"/>
        <rFont val="gulim,Verdana"/>
        <family val="2"/>
      </rPr>
      <t>)</t>
    </r>
  </si>
  <si>
    <r>
      <t xml:space="preserve">(00949) </t>
    </r>
    <r>
      <rPr>
        <sz val="9"/>
        <rFont val="Dotum"/>
        <family val="3"/>
        <charset val="129"/>
      </rPr>
      <t>혼합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</si>
  <si>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(00948)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</si>
  <si>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(00842) </t>
    </r>
    <r>
      <rPr>
        <sz val="9"/>
        <rFont val="Dotum"/>
        <family val="3"/>
        <charset val="129"/>
      </rPr>
      <t>하반기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저수조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</si>
  <si>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상봉에스디</t>
    </r>
  </si>
  <si>
    <r>
      <t xml:space="preserve">(00955)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증설에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시설분담금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</si>
  <si>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(00895) </t>
    </r>
    <r>
      <rPr>
        <sz val="9"/>
        <rFont val="Dotum"/>
        <family val="3"/>
        <charset val="129"/>
      </rPr>
      <t>조리종사원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휴게실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</si>
  <si>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(00936)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</si>
  <si>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(00838)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연계형돌봄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포함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중식비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</si>
  <si>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잠실장미맘마홈도시락</t>
    </r>
  </si>
  <si>
    <r>
      <t>(00930)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(8/14~8/20 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</si>
  <si>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김기남</t>
    </r>
  </si>
  <si>
    <r>
      <t>(00935)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</si>
  <si>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(00937)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>)</t>
    </r>
  </si>
  <si>
    <r>
      <t>(00939)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옥상등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기타</t>
    </r>
    <r>
      <rPr>
        <sz val="9"/>
        <rFont val="gulim,Verdana"/>
        <family val="2"/>
      </rPr>
      <t>)</t>
    </r>
  </si>
  <si>
    <r>
      <t>(00081)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</si>
  <si>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</si>
  <si>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</si>
  <si>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</si>
  <si>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(00017)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</si>
  <si>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(00976)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</si>
  <si>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(00951)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</si>
  <si>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현진우외</t>
    </r>
    <r>
      <rPr>
        <sz val="9"/>
        <rFont val="gulim,Verdana"/>
        <family val="2"/>
      </rPr>
      <t xml:space="preserve"> 16</t>
    </r>
    <r>
      <rPr>
        <sz val="9"/>
        <rFont val="Dotum"/>
        <family val="3"/>
        <charset val="129"/>
      </rPr>
      <t>명</t>
    </r>
  </si>
  <si>
    <r>
      <t>(00959)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</si>
  <si>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(00961)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(8/22 </t>
    </r>
    <r>
      <rPr>
        <sz val="9"/>
        <rFont val="Dotum"/>
        <family val="3"/>
        <charset val="129"/>
      </rPr>
      <t>문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</si>
  <si>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(00012)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</si>
  <si>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(00007)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전기안전관리용역료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</si>
  <si>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</si>
  <si>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</si>
  <si>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</si>
  <si>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(00977)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위닉스</t>
    </r>
    <r>
      <rPr>
        <sz val="9"/>
        <rFont val="gulim,Verdana"/>
        <family val="2"/>
      </rPr>
      <t>)/</t>
    </r>
    <r>
      <rPr>
        <sz val="9"/>
        <rFont val="Dotum"/>
        <family val="3"/>
        <charset val="129"/>
      </rPr>
      <t>자동이체</t>
    </r>
  </si>
  <si>
    <r>
      <t>(00985)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</si>
  <si>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(00984)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유플러스</t>
    </r>
    <r>
      <rPr>
        <sz val="9"/>
        <rFont val="gulim,Verdana"/>
        <family val="2"/>
      </rPr>
      <t>)</t>
    </r>
  </si>
  <si>
    <r>
      <t xml:space="preserve">(00975) </t>
    </r>
    <r>
      <rPr>
        <sz val="9"/>
        <rFont val="Dotum"/>
        <family val="3"/>
        <charset val="129"/>
      </rPr>
      <t>경조사비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</si>
  <si>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최수잔</t>
    </r>
  </si>
  <si>
    <r>
      <t xml:space="preserve">(00992)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건강진단결과서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보건증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검진비용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청구</t>
    </r>
  </si>
  <si>
    <r>
      <rPr>
        <sz val="9"/>
        <rFont val="Dotum"/>
        <family val="3"/>
        <charset val="129"/>
      </rPr>
      <t>윤원숙외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</si>
  <si>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(00993)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학급운영비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교과운영비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개산급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</si>
  <si>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변지영외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</si>
  <si>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(00994)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교원자비부담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연수비</t>
    </r>
    <r>
      <rPr>
        <sz val="9"/>
        <rFont val="gulim,Verdana"/>
        <family val="2"/>
      </rPr>
      <t>(1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</si>
  <si>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하민경외</t>
    </r>
    <r>
      <rPr>
        <sz val="9"/>
        <rFont val="gulim,Verdana"/>
        <family val="2"/>
      </rPr>
      <t xml:space="preserve"> 12</t>
    </r>
    <r>
      <rPr>
        <sz val="9"/>
        <rFont val="Dotum"/>
        <family val="3"/>
        <charset val="129"/>
      </rPr>
      <t>명</t>
    </r>
  </si>
  <si>
    <r>
      <t xml:space="preserve">(00552) </t>
    </r>
    <r>
      <rPr>
        <sz val="9"/>
        <rFont val="Dotum"/>
        <family val="3"/>
        <charset val="129"/>
      </rPr>
      <t>본관동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보일러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</si>
  <si>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기혜경동</t>
    </r>
  </si>
  <si>
    <r>
      <t>(00957)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</si>
  <si>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(00960)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</si>
  <si>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(00963)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</si>
  <si>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(00979)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</si>
  <si>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rPr>
        <sz val="9"/>
        <rFont val="Dotum"/>
        <family val="3"/>
        <charset val="129"/>
      </rPr>
      <t>황희정외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명</t>
    </r>
  </si>
  <si>
    <r>
      <t>(00980)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(8/26~8/26 </t>
    </r>
    <r>
      <rPr>
        <sz val="9"/>
        <rFont val="Dotum"/>
        <family val="3"/>
        <charset val="129"/>
      </rPr>
      <t>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</si>
  <si>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강애경</t>
    </r>
  </si>
  <si>
    <r>
      <t>(00962)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</si>
  <si>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(00981)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</si>
  <si>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 xml:space="preserve">(00991)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</si>
  <si>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(00986) </t>
    </r>
    <r>
      <rPr>
        <sz val="9"/>
        <rFont val="Dotum"/>
        <family val="3"/>
        <charset val="129"/>
      </rPr>
      <t>늘봄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온수기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</si>
  <si>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(00995)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조리실무사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(8/28 </t>
    </r>
    <r>
      <rPr>
        <sz val="9"/>
        <rFont val="Dotum"/>
        <family val="3"/>
        <charset val="129"/>
      </rPr>
      <t>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</si>
  <si>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(8/29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</si>
  <si>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(00956)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</si>
  <si>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(00997)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</si>
  <si>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(00996)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</si>
  <si>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 xml:space="preserve">(00998)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</si>
  <si>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(00071)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</si>
  <si>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(00160)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</si>
  <si>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(01000)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초등학교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우유급식비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</si>
  <si>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(01002)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(s2b)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</si>
  <si>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(01019)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</si>
  <si>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(01020)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</si>
  <si>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(00035)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전자조달시스템</t>
    </r>
    <r>
      <rPr>
        <sz val="9"/>
        <rFont val="gulim,Verdana"/>
        <family val="2"/>
      </rPr>
      <t xml:space="preserve">(eaT)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</si>
  <si>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(01017)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네트워크</t>
    </r>
    <r>
      <rPr>
        <sz val="9"/>
        <rFont val="gulim,Verdana"/>
        <family val="2"/>
      </rPr>
      <t xml:space="preserve"> '</t>
    </r>
    <r>
      <rPr>
        <sz val="9"/>
        <rFont val="Dotum"/>
        <family val="3"/>
        <charset val="129"/>
      </rPr>
      <t>빵빵한가족</t>
    </r>
    <r>
      <rPr>
        <sz val="9"/>
        <rFont val="gulim,Verdana"/>
        <family val="2"/>
      </rPr>
      <t xml:space="preserve">'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</si>
  <si>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김재정</t>
    </r>
  </si>
  <si>
    <r>
      <t>(01018)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대체인력활용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(9/1 </t>
    </r>
    <r>
      <rPr>
        <sz val="9"/>
        <rFont val="Dotum"/>
        <family val="3"/>
        <charset val="129"/>
      </rPr>
      <t>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</si>
  <si>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(00999)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</si>
  <si>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(01001)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3~8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퇴직연금</t>
    </r>
    <r>
      <rPr>
        <sz val="9"/>
        <rFont val="gulim,Verdana"/>
        <family val="2"/>
      </rPr>
      <t xml:space="preserve">(DC) </t>
    </r>
    <r>
      <rPr>
        <sz val="9"/>
        <rFont val="Dotum"/>
        <family val="3"/>
        <charset val="129"/>
      </rPr>
      <t>적립</t>
    </r>
  </si>
  <si>
    <r>
      <t xml:space="preserve">(01016) </t>
    </r>
    <r>
      <rPr>
        <sz val="9"/>
        <rFont val="Dotum"/>
        <family val="3"/>
        <charset val="129"/>
      </rPr>
      <t>소강당</t>
    </r>
    <r>
      <rPr>
        <sz val="9"/>
        <rFont val="gulim,Verdana"/>
        <family val="2"/>
      </rPr>
      <t xml:space="preserve"> PC</t>
    </r>
    <r>
      <rPr>
        <sz val="9"/>
        <rFont val="Dotum"/>
        <family val="3"/>
        <charset val="129"/>
      </rPr>
      <t>음성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잭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박스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</si>
  <si>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(01022)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(8/20~8/29 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</si>
  <si>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(01023)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</si>
  <si>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(01024)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보결수당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</si>
  <si>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윤선영</t>
    </r>
  </si>
  <si>
    <r>
      <t>(00696)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</si>
  <si>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(00694)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</si>
  <si>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(00691)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</si>
  <si>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(00693)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</si>
  <si>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(00692)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</si>
  <si>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(00695)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</si>
  <si>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(01026)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</si>
  <si>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이현희외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</si>
  <si>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(01034)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(8/29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</si>
  <si>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(01035)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(9/1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</si>
  <si>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(01036)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학습지원강사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디딤돌강사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</si>
  <si>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(01037)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</si>
  <si>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(9/4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</si>
  <si>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(01039)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퇴직금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</si>
  <si>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(01021) 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태블릿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밧데리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</si>
  <si>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(01040)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</si>
  <si>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(00902)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초등학교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우유급식비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지출반납</t>
    </r>
  </si>
  <si>
    <r>
      <t xml:space="preserve">(01038) </t>
    </r>
    <r>
      <rPr>
        <sz val="9"/>
        <rFont val="Dotum"/>
        <family val="3"/>
        <charset val="129"/>
      </rPr>
      <t>대안교육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</si>
  <si>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(00982)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화장실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가루비누외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</si>
  <si>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포레스트마켓외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</si>
  <si>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>(00988)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(8/26)</t>
    </r>
  </si>
  <si>
    <r>
      <t>(00989)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</si>
  <si>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(00990)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</si>
  <si>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(00965)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</si>
  <si>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(00966)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</si>
  <si>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(00967)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</si>
  <si>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(00968)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(8/25)</t>
    </r>
  </si>
  <si>
    <r>
      <t>(00969)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(8/22)</t>
    </r>
  </si>
  <si>
    <r>
      <t>(00970)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</si>
  <si>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삼성화원</t>
    </r>
  </si>
  <si>
    <r>
      <t>(00971)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</si>
  <si>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(00972)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</si>
  <si>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(00973)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</si>
  <si>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(00974)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</si>
  <si>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(00953)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</si>
  <si>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(00978)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평가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결과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</si>
  <si>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(00945)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</si>
  <si>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(00950)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다용도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청소카트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</si>
  <si>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바이비즈</t>
    </r>
    <r>
      <rPr>
        <sz val="9"/>
        <rFont val="gulim,Verdana"/>
        <family val="2"/>
      </rPr>
      <t>(BY BIZ)</t>
    </r>
  </si>
  <si>
    <r>
      <t>(00952)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늘봄교실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아리수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</si>
  <si>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(00964)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서버실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열쇠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</si>
  <si>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현대문화사</t>
    </r>
  </si>
  <si>
    <r>
      <t>(01005)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다솜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</si>
  <si>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(01012)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</si>
  <si>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황금소</t>
    </r>
  </si>
  <si>
    <r>
      <t>(01014)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디딤돌교실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</si>
  <si>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(01015)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4,6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기초학력책임지도제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</si>
  <si>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(00987)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경계교육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</si>
  <si>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엔에이치엔케이씨피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</si>
  <si>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(01007)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율현초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</si>
  <si>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코다리밥상이매동</t>
    </r>
  </si>
  <si>
    <r>
      <t>(01008)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</si>
  <si>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신선옥</t>
    </r>
  </si>
  <si>
    <r>
      <t>(01010)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</si>
  <si>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(01011) (9/12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</si>
  <si>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대체인력활용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(9/5 </t>
    </r>
    <r>
      <rPr>
        <sz val="9"/>
        <rFont val="Dotum"/>
        <family val="3"/>
        <charset val="129"/>
      </rPr>
      <t>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</si>
  <si>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(01059)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</si>
  <si>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(01056)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</si>
  <si>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(01025) </t>
    </r>
    <r>
      <rPr>
        <sz val="9"/>
        <rFont val="Dotum"/>
        <family val="3"/>
        <charset val="129"/>
      </rPr>
      <t>보건교육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</si>
  <si>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(01057) 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수서아동가족상담터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심리상담비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</si>
  <si>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(01065)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</si>
  <si>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전재은</t>
    </r>
  </si>
  <si>
    <r>
      <t>(01083)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</si>
  <si>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9~2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사업비</t>
    </r>
  </si>
  <si>
    <r>
      <t>(01084)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맞춤형복지비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</si>
  <si>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(01085)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디지털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리터러시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</si>
  <si>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 xml:space="preserve">(01086) </t>
    </r>
    <r>
      <rPr>
        <sz val="9"/>
        <rFont val="Dotum"/>
        <family val="3"/>
        <charset val="129"/>
      </rPr>
      <t>보일러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</si>
  <si>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(01090)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</si>
  <si>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(01091)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출결관리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시스템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</si>
  <si>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로데브</t>
    </r>
  </si>
  <si>
    <r>
      <t>(00386)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지급</t>
    </r>
  </si>
  <si>
    <r>
      <t>(01060)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2</t>
    </r>
    <r>
      <rPr>
        <sz val="9"/>
        <rFont val="Dotum"/>
        <family val="3"/>
        <charset val="129"/>
      </rPr>
      <t>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</si>
  <si>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(01061)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2</t>
    </r>
    <r>
      <rPr>
        <sz val="9"/>
        <rFont val="Dotum"/>
        <family val="3"/>
        <charset val="129"/>
      </rPr>
      <t>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재료비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</si>
  <si>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(01063)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2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</si>
  <si>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(01019)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반납결의</t>
    </r>
  </si>
  <si>
    <r>
      <t>(00872)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7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지출반납</t>
    </r>
  </si>
  <si>
    <r>
      <t>(01062)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2</t>
    </r>
    <r>
      <rPr>
        <sz val="9"/>
        <rFont val="Dotum"/>
        <family val="3"/>
        <charset val="129"/>
      </rPr>
      <t>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수용비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>)</t>
    </r>
  </si>
  <si>
    <r>
      <t>(01096)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대체인력활용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(9/8~9/12 </t>
    </r>
    <r>
      <rPr>
        <sz val="9"/>
        <rFont val="Dotum"/>
        <family val="3"/>
        <charset val="129"/>
      </rPr>
      <t>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</si>
  <si>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(01100)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</si>
  <si>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노형숙</t>
    </r>
  </si>
  <si>
    <r>
      <t>(01101)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</si>
  <si>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오선례외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</si>
  <si>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rPr>
        <sz val="9"/>
        <rFont val="Dotum"/>
        <family val="3"/>
        <charset val="129"/>
      </rPr>
      <t>현진우외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명</t>
    </r>
  </si>
  <si>
    <r>
      <t xml:space="preserve">(01103)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건강진단결과서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보건증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검진비용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청구</t>
    </r>
  </si>
  <si>
    <r>
      <rPr>
        <sz val="9"/>
        <rFont val="Dotum"/>
        <family val="3"/>
        <charset val="129"/>
      </rPr>
      <t>남미경</t>
    </r>
  </si>
  <si>
    <r>
      <t xml:space="preserve">(01102) </t>
    </r>
    <r>
      <rPr>
        <sz val="9"/>
        <rFont val="Dotum"/>
        <family val="3"/>
        <charset val="129"/>
      </rPr>
      <t>영양교사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식품위생교육비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</si>
  <si>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</t>
    </r>
    <r>
      <rPr>
        <sz val="9"/>
        <rFont val="Dotum"/>
        <family val="3"/>
        <charset val="129"/>
      </rPr>
      <t>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대한영양사협회</t>
    </r>
  </si>
  <si>
    <r>
      <t>(00954)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심폐소생술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응급처치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</si>
  <si>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(00923) 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오</t>
    </r>
    <r>
      <rPr>
        <sz val="9"/>
        <rFont val="gulim,Verdana"/>
        <family val="2"/>
      </rPr>
      <t>!</t>
    </r>
    <r>
      <rPr>
        <sz val="9"/>
        <rFont val="Dotum"/>
        <family val="3"/>
        <charset val="129"/>
      </rPr>
      <t>재미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여름방학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</si>
  <si>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스위트스푼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</si>
  <si>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처우개선수당</t>
    </r>
  </si>
  <si>
    <r>
      <t>(01093)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</si>
  <si>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>(01115)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집단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</si>
  <si>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(01116)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대체인력활용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(9/1~9/12 </t>
    </r>
    <r>
      <rPr>
        <sz val="9"/>
        <rFont val="Dotum"/>
        <family val="3"/>
        <charset val="129"/>
      </rPr>
      <t>노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</si>
  <si>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 xml:space="preserve">(01114) 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태블릿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배터리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</si>
  <si>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(01119)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네트워크</t>
    </r>
    <r>
      <rPr>
        <sz val="9"/>
        <rFont val="gulim,Verdana"/>
        <family val="2"/>
      </rPr>
      <t xml:space="preserve"> '</t>
    </r>
    <r>
      <rPr>
        <sz val="9"/>
        <rFont val="Dotum"/>
        <family val="3"/>
        <charset val="129"/>
      </rPr>
      <t>빵빵한가족</t>
    </r>
    <r>
      <rPr>
        <sz val="9"/>
        <rFont val="gulim,Verdana"/>
        <family val="2"/>
      </rPr>
      <t xml:space="preserve">'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</si>
  <si>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이은아</t>
    </r>
  </si>
  <si>
    <r>
      <t>(00008)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</si>
  <si>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(01095)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</si>
  <si>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(01134)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</si>
  <si>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정양숙</t>
    </r>
  </si>
  <si>
    <r>
      <t>(01135)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</si>
  <si>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정양숙외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명</t>
    </r>
  </si>
  <si>
    <r>
      <t>(01136)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</si>
  <si>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최금녀외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</si>
  <si>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(01110)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약품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</si>
  <si>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(01046)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바론반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</si>
  <si>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(01047)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시건장치용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자물쇠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</si>
  <si>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(01048)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)</t>
    </r>
  </si>
  <si>
    <r>
      <t>(01052)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텃밭에서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부엌으로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</si>
  <si>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(01027)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화장실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점보롤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</si>
  <si>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(01028)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마을탐방활동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쿠킹클래스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)</t>
    </r>
  </si>
  <si>
    <r>
      <t>(01045)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(5-</t>
    </r>
    <r>
      <rPr>
        <sz val="9"/>
        <rFont val="Dotum"/>
        <family val="3"/>
        <charset val="129"/>
      </rPr>
      <t>마음</t>
    </r>
    <r>
      <rPr>
        <sz val="9"/>
        <rFont val="gulim,Verdana"/>
        <family val="2"/>
      </rPr>
      <t>)</t>
    </r>
  </si>
  <si>
    <r>
      <t>(01050)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</si>
  <si>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(01053)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마을탐방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</si>
  <si>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(01029)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우편발송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</si>
  <si>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(01030)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</si>
  <si>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(01031)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영어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</si>
  <si>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(01032)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늘봄지원실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조성에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</si>
  <si>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이노사이언스</t>
    </r>
  </si>
  <si>
    <r>
      <t>(01033)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</si>
  <si>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(01055)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</si>
  <si>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(01003)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다솜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</si>
  <si>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(01004)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(9/1)</t>
    </r>
  </si>
  <si>
    <r>
      <t>(01013)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운영위원회관련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</si>
  <si>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(01006)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마음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</si>
  <si>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(01009)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(8/29)</t>
    </r>
  </si>
  <si>
    <r>
      <t>(01111)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찾아오는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현장체험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</si>
  <si>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(01112)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5-</t>
    </r>
    <r>
      <rPr>
        <sz val="9"/>
        <rFont val="Dotum"/>
        <family val="3"/>
        <charset val="129"/>
      </rPr>
      <t>바론반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</si>
  <si>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(01113)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</si>
  <si>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(01073)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</si>
  <si>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(01074)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</si>
  <si>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(01075)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</si>
  <si>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(01076)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</si>
  <si>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(01077)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(9/9)</t>
    </r>
  </si>
  <si>
    <r>
      <t>(01064)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</si>
  <si>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(01078)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서버실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허브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</t>
    </r>
  </si>
  <si>
    <r>
      <rPr>
        <sz val="9"/>
        <rFont val="Dotum"/>
        <family val="3"/>
        <charset val="129"/>
      </rPr>
      <t>하늘정보통신</t>
    </r>
  </si>
  <si>
    <r>
      <t>(01079)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</si>
  <si>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(01080)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</si>
  <si>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(01081)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(9/8)</t>
    </r>
  </si>
  <si>
    <r>
      <t>(01041)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</si>
  <si>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(01042)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</si>
  <si>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(01044)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(9/5)</t>
    </r>
  </si>
  <si>
    <r>
      <t>(01049)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 Wee</t>
    </r>
    <r>
      <rPr>
        <sz val="9"/>
        <rFont val="Dotum"/>
        <family val="3"/>
        <charset val="129"/>
      </rPr>
      <t>클래스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학부모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차류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</si>
  <si>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(01051)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</si>
  <si>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(01054)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기초학력책임지도제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</si>
  <si>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(01043)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비품수리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세탁기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</si>
  <si>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엘지전자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주식회사</t>
    </r>
  </si>
  <si>
    <r>
      <t>(01094)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</si>
  <si>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(01106)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과학과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체험학습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</si>
  <si>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대륙서점</t>
    </r>
  </si>
  <si>
    <r>
      <t>(01107) (9/27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영어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</si>
  <si>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(01126)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</si>
  <si>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(00009)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</si>
  <si>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(01118) (S2B) 2025.9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~2026.2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생일기념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상품권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</si>
  <si>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주주스쿨</t>
    </r>
  </si>
  <si>
    <r>
      <t xml:space="preserve">(01137) </t>
    </r>
    <r>
      <rPr>
        <sz val="9"/>
        <rFont val="Dotum"/>
        <family val="3"/>
        <charset val="129"/>
      </rPr>
      <t>당직실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바닥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개선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</si>
  <si>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(01128)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</si>
  <si>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(01129)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전산작업비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</si>
  <si>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(00015)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</si>
  <si>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8,9 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</si>
  <si>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(00007)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전기안전관리용역료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</si>
  <si>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</si>
  <si>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(00081)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</si>
  <si>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</si>
  <si>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</si>
  <si>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</si>
  <si>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(01092)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</si>
  <si>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(01087)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>)</t>
    </r>
  </si>
  <si>
    <r>
      <t>(01089)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옥상등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기타</t>
    </r>
    <r>
      <rPr>
        <sz val="9"/>
        <rFont val="gulim,Verdana"/>
        <family val="2"/>
      </rPr>
      <t>)</t>
    </r>
  </si>
  <si>
    <r>
      <t>(01173)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</si>
  <si>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(01154)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</si>
  <si>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(01118) (</t>
    </r>
    <r>
      <rPr>
        <sz val="9"/>
        <rFont val="Dotum"/>
        <family val="3"/>
        <charset val="129"/>
      </rPr>
      <t>과목경정</t>
    </r>
    <r>
      <rPr>
        <sz val="9"/>
        <rFont val="gulim,Verdana"/>
        <family val="2"/>
      </rPr>
      <t>)(S2B) 2025.9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~2026.2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생일기념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상품권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</si>
  <si>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(01098)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</si>
  <si>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(01174)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위닉스</t>
    </r>
    <r>
      <rPr>
        <sz val="9"/>
        <rFont val="gulim,Verdana"/>
        <family val="2"/>
      </rPr>
      <t>)/</t>
    </r>
    <r>
      <rPr>
        <sz val="9"/>
        <rFont val="Dotum"/>
        <family val="3"/>
        <charset val="129"/>
      </rPr>
      <t>자동이체</t>
    </r>
  </si>
  <si>
    <r>
      <t>(01176)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유플러스</t>
    </r>
    <r>
      <rPr>
        <sz val="9"/>
        <rFont val="gulim,Verdana"/>
        <family val="2"/>
      </rPr>
      <t>)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</si>
  <si>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(9/29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</si>
  <si>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(01157)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</si>
  <si>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(01165)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</si>
  <si>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(01153)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</si>
  <si>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(01158)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</si>
  <si>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t>(01156)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</si>
  <si>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(01152)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</si>
  <si>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(01155)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</si>
  <si>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(00011)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</si>
  <si>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</si>
  <si>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(01172)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디지털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리터러시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</si>
  <si>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시립보라매인터넷중독예방상담센터</t>
    </r>
  </si>
  <si>
    <r>
      <t xml:space="preserve">(01169)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건강진단결과서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보건증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</si>
  <si>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구현희</t>
    </r>
  </si>
  <si>
    <r>
      <t xml:space="preserve">(01178) </t>
    </r>
    <r>
      <rPr>
        <sz val="9"/>
        <rFont val="Dotum"/>
        <family val="3"/>
        <charset val="129"/>
      </rPr>
      <t>조리사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위생교육비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</si>
  <si>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(01168) A4</t>
    </r>
    <r>
      <rPr>
        <sz val="9"/>
        <rFont val="Dotum"/>
        <family val="3"/>
        <charset val="129"/>
      </rPr>
      <t>복사용지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</si>
  <si>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(01104)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상하수도요금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</si>
  <si>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(01179)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</si>
  <si>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(01180)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</si>
  <si>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(01166)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</si>
  <si>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>(01184)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</si>
  <si>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(00035)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전자조달시스템</t>
    </r>
    <r>
      <rPr>
        <sz val="9"/>
        <rFont val="gulim,Verdana"/>
        <family val="2"/>
      </rPr>
      <t xml:space="preserve">(eaT)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</si>
  <si>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(01182)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</si>
  <si>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(01181)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</si>
  <si>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(01185)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대체인력활용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(9/25~9/26 </t>
    </r>
    <r>
      <rPr>
        <sz val="9"/>
        <rFont val="Dotum"/>
        <family val="3"/>
        <charset val="129"/>
      </rPr>
      <t>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</si>
  <si>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(01186)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보결수당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</si>
  <si>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정지연외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</si>
  <si>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(01187)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</si>
  <si>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박정하외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</si>
  <si>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(01188)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음악줄넘기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</si>
  <si>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이은숙</t>
    </r>
  </si>
  <si>
    <r>
      <t>(01189)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연극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</si>
  <si>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(01190)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기악합주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</si>
  <si>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김소희</t>
    </r>
  </si>
  <si>
    <r>
      <t>(01191)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기악합주보조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</si>
  <si>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(01192)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전래동요와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춤놀이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</si>
  <si>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(01195)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보조원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(9/23~9/30 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</si>
  <si>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이지은</t>
    </r>
  </si>
  <si>
    <r>
      <t>(01197)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학습지원강사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디딤돌강사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</si>
  <si>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(00071)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</si>
  <si>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(01196)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</si>
  <si>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(01194) 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</si>
  <si>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(01198)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육아시간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문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</si>
  <si>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(01202)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</si>
  <si>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(01159)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추석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명절휴가비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</si>
  <si>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>(01167)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추석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명절휴가비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</si>
  <si>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t>(01199)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추석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명절휴가비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</si>
  <si>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(01132)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</si>
  <si>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(01133)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</si>
  <si>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(01071)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</si>
  <si>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(01131)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</si>
  <si>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원에프에스</t>
    </r>
  </si>
  <si>
    <r>
      <t>(01068)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</si>
  <si>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(01069)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</si>
  <si>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(01203)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심폐소생술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응급처치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</si>
  <si>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(01201)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(s2b)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</si>
  <si>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(01207)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</si>
  <si>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조진숙</t>
    </r>
  </si>
  <si>
    <r>
      <t>(01208)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</si>
  <si>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최유미</t>
    </r>
  </si>
  <si>
    <r>
      <t>(</t>
    </r>
    <r>
      <rPr>
        <sz val="9"/>
        <rFont val="Dotum"/>
        <family val="3"/>
        <charset val="129"/>
      </rPr>
      <t>보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강남미래교육지구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기초학력증진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지원강사</t>
    </r>
  </si>
  <si>
    <r>
      <rPr>
        <sz val="9"/>
        <rFont val="Dotum"/>
        <family val="3"/>
        <charset val="129"/>
      </rPr>
      <t>문수진외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</si>
  <si>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(01209)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</si>
  <si>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(01210)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창의적체험활동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(9/4, 9/18 </t>
    </r>
    <r>
      <rPr>
        <sz val="9"/>
        <rFont val="Dotum"/>
        <family val="3"/>
        <charset val="129"/>
      </rPr>
      <t>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</si>
  <si>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박지희</t>
    </r>
  </si>
  <si>
    <r>
      <t>(01212)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</si>
  <si>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(01213)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</si>
  <si>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(01214)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</si>
  <si>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(01218)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</si>
  <si>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최로사외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명</t>
    </r>
  </si>
  <si>
    <r>
      <t>(01219)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(9/30 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</si>
  <si>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차경숙</t>
    </r>
  </si>
  <si>
    <r>
      <t>(01220)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</si>
  <si>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이유선</t>
    </r>
  </si>
  <si>
    <r>
      <t>(01221)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수업참관을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</si>
  <si>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조지원외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</si>
  <si>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현장체험학습보조인력지원</t>
    </r>
  </si>
  <si>
    <r>
      <t>(01222)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체험학습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보조인력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(10/2 </t>
    </r>
    <r>
      <rPr>
        <sz val="9"/>
        <rFont val="Dotum"/>
        <family val="3"/>
        <charset val="129"/>
      </rPr>
      <t>고</t>
    </r>
    <r>
      <rPr>
        <sz val="9"/>
        <rFont val="gulim,Verdana"/>
        <family val="2"/>
      </rPr>
      <t xml:space="preserve">**,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</si>
  <si>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윤정미외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</si>
  <si>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(01143)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토의토론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</si>
  <si>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(01144)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냉난방기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</si>
  <si>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(01145)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</si>
  <si>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(01147)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꿈잼교실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</si>
  <si>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(01149)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</si>
  <si>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(01150)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</si>
  <si>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예스이십사주식회사외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</si>
  <si>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(01130)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</si>
  <si>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(01146)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종량제봉투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</si>
  <si>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롯데슈퍼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세곡점</t>
    </r>
  </si>
  <si>
    <r>
      <t>(01148)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음악놀이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</si>
  <si>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(01151)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</si>
  <si>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(01120)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</si>
  <si>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바운스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트램폴린파크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삼성센터</t>
    </r>
  </si>
  <si>
    <r>
      <t>(01121)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</si>
  <si>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(01122)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(9/17)</t>
    </r>
  </si>
  <si>
    <r>
      <t>(01123)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</si>
  <si>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대흥정</t>
    </r>
  </si>
  <si>
    <r>
      <t>(01124)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마을결합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</si>
  <si>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(01125)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</si>
  <si>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(01109)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프로펠러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나무자동차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외</t>
    </r>
    <r>
      <rPr>
        <sz val="9"/>
        <rFont val="gulim,Verdana"/>
        <family val="2"/>
      </rPr>
      <t xml:space="preserve"> 18</t>
    </r>
    <r>
      <rPr>
        <sz val="9"/>
        <rFont val="Dotum"/>
        <family val="3"/>
        <charset val="129"/>
      </rPr>
      <t>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</si>
  <si>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(01117)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책놀이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</si>
  <si>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(01105)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</si>
  <si>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(01108)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청소년상담사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의무대상자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</si>
  <si>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(01177)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음악놀이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전래놀이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</si>
  <si>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(01171)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월경용품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</si>
  <si>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(01175)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</si>
  <si>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(01206)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</si>
  <si>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투썸강남자곡점</t>
    </r>
  </si>
  <si>
    <r>
      <t>(01160)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(9/24)</t>
    </r>
  </si>
  <si>
    <r>
      <t>(01162)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</si>
  <si>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(01164)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'</t>
    </r>
    <r>
      <rPr>
        <sz val="9"/>
        <rFont val="Dotum"/>
        <family val="3"/>
        <charset val="129"/>
      </rPr>
      <t>꿈샘쌤과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함께</t>
    </r>
    <r>
      <rPr>
        <sz val="9"/>
        <rFont val="gulim,Verdana"/>
        <family val="2"/>
      </rPr>
      <t xml:space="preserve">'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</si>
  <si>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엔씨송파점</t>
    </r>
  </si>
  <si>
    <r>
      <t>(01138)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신체놀이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</si>
  <si>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(01139)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(9/23)</t>
    </r>
  </si>
  <si>
    <r>
      <t>(01140)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</si>
  <si>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(01161)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(9/23)</t>
    </r>
  </si>
  <si>
    <r>
      <t>(01163)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토의토론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</si>
  <si>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(01141)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</si>
  <si>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(01142)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</si>
  <si>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(01223) </t>
    </r>
    <r>
      <rPr>
        <sz val="9"/>
        <rFont val="Dotum"/>
        <family val="3"/>
        <charset val="129"/>
      </rPr>
      <t>대안교육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</si>
  <si>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(00386)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지급</t>
    </r>
  </si>
  <si>
    <r>
      <t>(01235)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3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</si>
  <si>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(01183)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</si>
  <si>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(01239) </t>
    </r>
    <r>
      <rPr>
        <sz val="9"/>
        <rFont val="Dotum"/>
        <family val="3"/>
        <charset val="129"/>
      </rPr>
      <t>돌봄교실</t>
    </r>
    <r>
      <rPr>
        <sz val="9"/>
        <rFont val="gulim,Verdana"/>
        <family val="2"/>
      </rPr>
      <t xml:space="preserve"> 4,5 </t>
    </r>
    <r>
      <rPr>
        <sz val="9"/>
        <rFont val="Dotum"/>
        <family val="3"/>
        <charset val="129"/>
      </rPr>
      <t>방송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스피커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점검</t>
    </r>
  </si>
  <si>
    <r>
      <t xml:space="preserve">(01127)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애벌세척기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</si>
  <si>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모아주방산업주식회사</t>
    </r>
  </si>
  <si>
    <r>
      <t>(01243)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</si>
  <si>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임윤정</t>
    </r>
  </si>
  <si>
    <r>
      <t>(01244)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영어디딤돌</t>
    </r>
    <r>
      <rPr>
        <sz val="9"/>
        <rFont val="gulim,Verdana"/>
        <family val="2"/>
      </rPr>
      <t>) 3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</si>
  <si>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(01232)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</si>
  <si>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 xml:space="preserve">(01240) </t>
    </r>
    <r>
      <rPr>
        <sz val="9"/>
        <rFont val="Dotum"/>
        <family val="3"/>
        <charset val="129"/>
      </rPr>
      <t>제세동기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패드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배터리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</si>
  <si>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오렌지팜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</si>
  <si>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(10/17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</si>
  <si>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(00009)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학내망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컴퓨터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</si>
  <si>
    <r>
      <t>(00013)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놀이시설물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유지보수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</si>
  <si>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(01233)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</si>
  <si>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(01234)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</si>
  <si>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(01236)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</si>
  <si>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(01237)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토의토론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</si>
  <si>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(01238)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(10/14)</t>
    </r>
  </si>
  <si>
    <r>
      <t>(01256)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</si>
  <si>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(01225)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</si>
  <si>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(01227)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(10/13)</t>
    </r>
  </si>
  <si>
    <r>
      <t>(01229)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전래놀이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</si>
  <si>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(01230)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</si>
  <si>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(01215)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)2025.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찾아오는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현장체험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</si>
  <si>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(01226)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(10/2)</t>
    </r>
  </si>
  <si>
    <r>
      <t>(01204)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마을탐방활동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)</t>
    </r>
  </si>
  <si>
    <r>
      <t>(01216)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(10/1)</t>
    </r>
  </si>
  <si>
    <r>
      <t>(01217)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</si>
  <si>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(01193)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(7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>)</t>
    </r>
  </si>
  <si>
    <r>
      <t>(01205)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마을탐방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</si>
  <si>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(00008)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기계경비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</si>
  <si>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(01253)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대체인력활용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(10/13~10/20 </t>
    </r>
    <r>
      <rPr>
        <sz val="9"/>
        <rFont val="Dotum"/>
        <family val="3"/>
        <charset val="129"/>
      </rPr>
      <t>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</si>
  <si>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(01254)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관내출장여비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</si>
  <si>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황인영외</t>
    </r>
    <r>
      <rPr>
        <sz val="9"/>
        <rFont val="gulim,Verdana"/>
        <family val="2"/>
      </rPr>
      <t xml:space="preserve"> 22</t>
    </r>
    <r>
      <rPr>
        <sz val="9"/>
        <rFont val="Dotum"/>
        <family val="3"/>
        <charset val="129"/>
      </rPr>
      <t>명</t>
    </r>
  </si>
  <si>
    <r>
      <rPr>
        <sz val="9"/>
        <rFont val="Dotum"/>
        <family val="3"/>
        <charset val="129"/>
      </rPr>
      <t>표효정외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명</t>
    </r>
  </si>
  <si>
    <r>
      <t>(01255)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관외출장여비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</si>
  <si>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(01274)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육아시간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문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</si>
  <si>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(01273)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출결관리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이용료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</si>
  <si>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(01231) (S2B)2025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</si>
  <si>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킹스쿨</t>
    </r>
  </si>
  <si>
    <r>
      <t>(01275)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</si>
  <si>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(10/21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</si>
  <si>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(01276)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연가로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(10/14, 10/16, 10/17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</si>
  <si>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(10/22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</si>
  <si>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(01281)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학교교육력제고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컨설팅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</si>
  <si>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신권익</t>
    </r>
  </si>
  <si>
    <r>
      <t>(00167)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</si>
  <si>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(00359)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</si>
  <si>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(00999)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</si>
  <si>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(01000)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8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, </t>
    </r>
    <r>
      <rPr>
        <sz val="9"/>
        <rFont val="Dotum"/>
        <family val="3"/>
        <charset val="129"/>
      </rPr>
      <t>초등학교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우유급식비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</si>
  <si>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(00490)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과목경정</t>
    </r>
  </si>
  <si>
    <r>
      <t>(01277)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5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(10/20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</si>
  <si>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 xml:space="preserve">(01241)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누수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코킹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빗물받이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</si>
  <si>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미도건축</t>
    </r>
  </si>
  <si>
    <r>
      <t xml:space="preserve">(01283)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하수구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거름망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</si>
  <si>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(01285)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연가로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(10/15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</si>
  <si>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(10/24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</si>
  <si>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(00018)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당직근로자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</si>
  <si>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산업안전보건관리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</si>
  <si>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사무용기기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프린터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복사기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임대료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</si>
  <si>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(00081)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섹터방식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학교시설관리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</si>
  <si>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미화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</si>
  <si>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(00012)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승강기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</si>
  <si>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1-2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</si>
  <si>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(00007)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전기안전관리용역료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</si>
  <si>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(10/27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</si>
  <si>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(01310)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</si>
  <si>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(01312)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건강진단결과서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보건증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검사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</si>
  <si>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(01318)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>)</t>
    </r>
  </si>
  <si>
    <r>
      <t>(01320)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도시가스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옥상등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기타</t>
    </r>
    <r>
      <rPr>
        <sz val="9"/>
        <rFont val="gulim,Verdana"/>
        <family val="2"/>
      </rPr>
      <t>)</t>
    </r>
  </si>
  <si>
    <r>
      <t>(01314)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케이블방송요금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</si>
  <si>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(01315)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미세먼지측정료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 (</t>
    </r>
    <r>
      <rPr>
        <sz val="9"/>
        <rFont val="Dotum"/>
        <family val="3"/>
        <charset val="129"/>
      </rPr>
      <t>유플러스</t>
    </r>
    <r>
      <rPr>
        <sz val="9"/>
        <rFont val="gulim,Verdana"/>
        <family val="2"/>
      </rPr>
      <t>)</t>
    </r>
  </si>
  <si>
    <r>
      <t>(01317)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전화요금</t>
    </r>
    <r>
      <rPr>
        <sz val="9"/>
        <rFont val="gulim,Verdana"/>
        <family val="2"/>
      </rPr>
      <t xml:space="preserve">(LGU+ 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</si>
  <si>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(01326)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위닉스</t>
    </r>
    <r>
      <rPr>
        <sz val="9"/>
        <rFont val="gulim,Verdana"/>
        <family val="2"/>
      </rPr>
      <t>)/</t>
    </r>
    <r>
      <rPr>
        <sz val="9"/>
        <rFont val="Dotum"/>
        <family val="3"/>
        <charset val="129"/>
      </rPr>
      <t>자동이체</t>
    </r>
  </si>
  <si>
    <r>
      <t>(01328)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조리실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유지관리비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>)</t>
    </r>
  </si>
  <si>
    <r>
      <t>(01319)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성폭력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예방교육비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</si>
  <si>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(01233) (10/27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일부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취소에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반납</t>
    </r>
  </si>
  <si>
    <r>
      <t>(01336)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5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(10/22~10/24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</si>
  <si>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공동체운영</t>
    </r>
  </si>
  <si>
    <r>
      <t>(01338)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남학생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</si>
  <si>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이한</t>
    </r>
  </si>
  <si>
    <r>
      <t xml:space="preserve">(00325) </t>
    </r>
    <r>
      <rPr>
        <sz val="9"/>
        <rFont val="Dotum"/>
        <family val="3"/>
        <charset val="129"/>
      </rPr>
      <t>교육청계약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공기청정기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렌탈비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코웨이</t>
    </r>
    <r>
      <rPr>
        <sz val="9"/>
        <rFont val="gulim,Verdana"/>
        <family val="2"/>
      </rPr>
      <t>,2025.10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/</t>
    </r>
    <r>
      <rPr>
        <sz val="9"/>
        <rFont val="Dotum"/>
        <family val="3"/>
        <charset val="129"/>
      </rPr>
      <t>계좌이체</t>
    </r>
    <r>
      <rPr>
        <sz val="9"/>
        <rFont val="gulim,Verdana"/>
        <family val="2"/>
      </rPr>
      <t>)</t>
    </r>
  </si>
  <si>
    <r>
      <t>(01278)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장애인근로자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</si>
  <si>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(01282)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장애학생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학습도우미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2)</t>
    </r>
  </si>
  <si>
    <r>
      <t>(01279)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학교보안관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3)</t>
    </r>
  </si>
  <si>
    <r>
      <t>(01335)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교육공무직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4)</t>
    </r>
  </si>
  <si>
    <r>
      <t>(01322)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안전지원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</si>
  <si>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(01324)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</si>
  <si>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t>(01323)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특수학급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</si>
  <si>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(01325)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</si>
  <si>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(01347)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맞춤형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대체수업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급여외소득</t>
    </r>
    <r>
      <rPr>
        <sz val="9"/>
        <rFont val="gulim,Verdana"/>
        <family val="2"/>
      </rPr>
      <t>)</t>
    </r>
  </si>
  <si>
    <r>
      <t xml:space="preserve">(01333) </t>
    </r>
    <r>
      <rPr>
        <sz val="9"/>
        <rFont val="Dotum"/>
        <family val="3"/>
        <charset val="129"/>
      </rPr>
      <t>감염병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</si>
  <si>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(01349)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병가로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(10/27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</si>
  <si>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(01350)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연계형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(10/23~10/24 </t>
    </r>
    <r>
      <rPr>
        <sz val="9"/>
        <rFont val="Dotum"/>
        <family val="3"/>
        <charset val="129"/>
      </rPr>
      <t>고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</si>
  <si>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고봉은</t>
    </r>
  </si>
  <si>
    <r>
      <t>(01348)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고용산재보험료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</si>
  <si>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(01352) 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의약품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</si>
  <si>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(01309) 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약품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</si>
  <si>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 xml:space="preserve">(01351) 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모니터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</si>
  <si>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(01353)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</si>
  <si>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해충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</si>
  <si>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(00071)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통학버스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임차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</si>
  <si>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(01286)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전기요금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</si>
  <si>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(01321)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TV</t>
    </r>
    <r>
      <rPr>
        <sz val="9"/>
        <rFont val="Dotum"/>
        <family val="3"/>
        <charset val="129"/>
      </rPr>
      <t>수신료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</si>
  <si>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 xml:space="preserve">(01354) </t>
    </r>
    <r>
      <rPr>
        <sz val="9"/>
        <rFont val="Dotum"/>
        <family val="3"/>
        <charset val="129"/>
      </rPr>
      <t>학생용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태블릿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배터리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감사장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</si>
  <si>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(01346)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직책급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업무추진비</t>
    </r>
  </si>
  <si>
    <r>
      <t>(01373)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네트워크</t>
    </r>
    <r>
      <rPr>
        <sz val="9"/>
        <rFont val="gulim,Verdana"/>
        <family val="2"/>
      </rPr>
      <t xml:space="preserve"> '</t>
    </r>
    <r>
      <rPr>
        <sz val="9"/>
        <rFont val="Dotum"/>
        <family val="3"/>
        <charset val="129"/>
      </rPr>
      <t>빵빵한가족</t>
    </r>
    <r>
      <rPr>
        <sz val="9"/>
        <rFont val="gulim,Verdana"/>
        <family val="2"/>
      </rPr>
      <t xml:space="preserve">'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</si>
  <si>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손미화외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명</t>
    </r>
  </si>
  <si>
    <r>
      <t>(01374)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학습지원강사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디딤돌강사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홍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</si>
  <si>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(01375)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기초학력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</si>
  <si>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(01378)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창의적체험활동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(10/2, 10/23 </t>
    </r>
    <r>
      <rPr>
        <sz val="9"/>
        <rFont val="Dotum"/>
        <family val="3"/>
        <charset val="129"/>
      </rPr>
      <t>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</si>
  <si>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(01379)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아침돌봄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틈새돌봄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봉사자활동비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</si>
  <si>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하반기</t>
    </r>
    <r>
      <rPr>
        <sz val="9"/>
        <rFont val="gulim,Verdana"/>
        <family val="2"/>
      </rPr>
      <t>)</t>
    </r>
  </si>
  <si>
    <r>
      <t>(01380)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튜터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</si>
  <si>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(01381)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</si>
  <si>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(01385)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서울율현초등학교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도서관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대체사서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</si>
  <si>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(01390)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업무경감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2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남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</si>
  <si>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남금희</t>
    </r>
  </si>
  <si>
    <r>
      <t>(01280)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</si>
  <si>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(00011)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소방안전관리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</si>
  <si>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(01376)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학교장터</t>
    </r>
    <r>
      <rPr>
        <sz val="9"/>
        <rFont val="gulim,Verdana"/>
        <family val="2"/>
      </rPr>
      <t xml:space="preserve">(s2b) </t>
    </r>
    <r>
      <rPr>
        <sz val="9"/>
        <rFont val="Dotum"/>
        <family val="3"/>
        <charset val="129"/>
      </rPr>
      <t>이용수수료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</si>
  <si>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(01140) (10/12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반납결의</t>
    </r>
  </si>
  <si>
    <r>
      <t>(01398)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우유비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</si>
  <si>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(01397) 2025</t>
    </r>
    <r>
      <rPr>
        <sz val="9"/>
        <rFont val="Dotum"/>
        <family val="3"/>
        <charset val="129"/>
      </rPr>
      <t>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음식물류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폐기물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위탁처리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</si>
  <si>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(00266) (</t>
    </r>
    <r>
      <rPr>
        <sz val="9"/>
        <rFont val="Dotum"/>
        <family val="3"/>
        <charset val="129"/>
      </rPr>
      <t>과목경정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조리원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휴게실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세탁기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</si>
  <si>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(01402)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대체시간강사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</si>
  <si>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이유선외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명</t>
    </r>
  </si>
  <si>
    <r>
      <t>(01403)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발도르프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유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</si>
  <si>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유희경</t>
    </r>
  </si>
  <si>
    <r>
      <t>(01404)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연극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최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</si>
  <si>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(01405)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전래동요와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춤놀이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</si>
  <si>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(01406)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음악줄넘기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이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</si>
  <si>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(01407)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기악합주보조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전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</si>
  <si>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(01408)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초등예술하나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기악합주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김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</si>
  <si>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(01304)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</si>
  <si>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(01305)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(10/21)</t>
    </r>
  </si>
  <si>
    <r>
      <t>(01258)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(10/20)</t>
    </r>
  </si>
  <si>
    <r>
      <t>(01260)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음악놀이와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</si>
  <si>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(01271)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</si>
  <si>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(01272)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</si>
  <si>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(01251)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전래놀이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</si>
  <si>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(01261)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</si>
  <si>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(01262)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마음반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</si>
  <si>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(01263)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공동수업지원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</si>
  <si>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(01264)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(10/17)</t>
    </r>
  </si>
  <si>
    <r>
      <t>(01257)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침구류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세탁비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</si>
  <si>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(01265)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비품수리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캐논복합기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비용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</si>
  <si>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(01266)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</si>
  <si>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(01267)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</si>
  <si>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(01268)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_</t>
    </r>
    <r>
      <rPr>
        <sz val="9"/>
        <rFont val="Dotum"/>
        <family val="3"/>
        <charset val="129"/>
      </rPr>
      <t>헬륨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캔</t>
    </r>
  </si>
  <si>
    <r>
      <t>(01270)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시설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</si>
  <si>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(01242)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율현한마당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모임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</si>
  <si>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풍년떡집</t>
    </r>
  </si>
  <si>
    <r>
      <t>(01269)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</si>
  <si>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(01308)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율현한마당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봉사자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</si>
  <si>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초밥에진심</t>
    </r>
  </si>
  <si>
    <r>
      <t>(01284)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신체놀이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</si>
  <si>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(01289)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율현초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</si>
  <si>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주식회사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쎄비</t>
    </r>
  </si>
  <si>
    <r>
      <t>(01290)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)2025.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독서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협의회비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</si>
  <si>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(01291)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율현초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</si>
  <si>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(01313)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초과근무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특근매식비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(10/24)</t>
    </r>
  </si>
  <si>
    <r>
      <t>(01295)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</si>
  <si>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(01297)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</si>
  <si>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저소득층학생중식지원비</t>
    </r>
  </si>
  <si>
    <r>
      <t>(01298)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저소득층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학기중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비급식일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중식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식당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쿠폰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</si>
  <si>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강남햅쌀로만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꼬마김밥</t>
    </r>
  </si>
  <si>
    <r>
      <t>(01300)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</si>
  <si>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(01292)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보건교육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</si>
  <si>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(01293)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6-</t>
    </r>
    <r>
      <rPr>
        <sz val="9"/>
        <rFont val="Dotum"/>
        <family val="3"/>
        <charset val="129"/>
      </rPr>
      <t>바론반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꿈잼꿈실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</si>
  <si>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(01294)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남학생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</si>
  <si>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(01296)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</si>
  <si>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하덕광</t>
    </r>
  </si>
  <si>
    <r>
      <t>(01306)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고학년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남학생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간식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</si>
  <si>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(01356)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학교운영위원회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회의용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</si>
  <si>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(01287)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제</t>
    </r>
    <r>
      <rPr>
        <sz val="9"/>
        <rFont val="gulim,Verdana"/>
        <family val="2"/>
      </rPr>
      <t>4</t>
    </r>
    <r>
      <rPr>
        <sz val="9"/>
        <rFont val="Dotum"/>
        <family val="3"/>
        <charset val="129"/>
      </rPr>
      <t>지구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자율장학회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</si>
  <si>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(01288)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</si>
  <si>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써브웨이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한화오밸리스</t>
    </r>
  </si>
  <si>
    <r>
      <t>(01301)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</si>
  <si>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(01302)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전자칠판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전자펜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</si>
  <si>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(01303)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가람반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</si>
  <si>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(01364)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)2025. </t>
    </r>
    <r>
      <rPr>
        <sz val="9"/>
        <rFont val="Dotum"/>
        <family val="3"/>
        <charset val="129"/>
      </rPr>
      <t>보호자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자치회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소모임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생태전환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</si>
  <si>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(01368)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4-</t>
    </r>
    <r>
      <rPr>
        <sz val="9"/>
        <rFont val="Dotum"/>
        <family val="3"/>
        <charset val="129"/>
      </rPr>
      <t>다솜반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</si>
  <si>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(01369)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</si>
  <si>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(01370)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4-</t>
    </r>
    <r>
      <rPr>
        <sz val="9"/>
        <rFont val="Dotum"/>
        <family val="3"/>
        <charset val="129"/>
      </rPr>
      <t>마음반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</si>
  <si>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(01371)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율현초</t>
    </r>
    <r>
      <rPr>
        <sz val="9"/>
        <rFont val="gulim,Verdana"/>
        <family val="2"/>
      </rPr>
      <t xml:space="preserve"> 1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</si>
  <si>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(01396)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</si>
  <si>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(01342)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수업전성기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</si>
  <si>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(01357)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화장실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휴지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청소용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</si>
  <si>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(01366)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</si>
  <si>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(01367)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교육지원팀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</si>
  <si>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온더브레드</t>
    </r>
  </si>
  <si>
    <r>
      <t>(01372)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 xml:space="preserve">) 2025 </t>
    </r>
    <r>
      <rPr>
        <sz val="9"/>
        <rFont val="Dotum"/>
        <family val="3"/>
        <charset val="129"/>
      </rPr>
      <t>푸른하늘반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마을탐방활동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쿠킹클래스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체험비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</si>
  <si>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(01337)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</si>
  <si>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용수양봉카페</t>
    </r>
  </si>
  <si>
    <r>
      <t>(01339)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행정실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업무협의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</si>
  <si>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애란궁</t>
    </r>
  </si>
  <si>
    <r>
      <t>(01340)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)2025. 2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학습준비물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</si>
  <si>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(01341)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학년협의회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</si>
  <si>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rPr>
        <sz val="9"/>
        <rFont val="Dotum"/>
        <family val="3"/>
        <charset val="129"/>
      </rPr>
      <t>오토김밥</t>
    </r>
  </si>
  <si>
    <r>
      <t>(01343)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창의미술놀이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</si>
  <si>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(01344)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</si>
  <si>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(01331)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)5-</t>
    </r>
    <r>
      <rPr>
        <sz val="9"/>
        <rFont val="Dotum"/>
        <family val="3"/>
        <charset val="129"/>
      </rPr>
      <t>나래반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사제동행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멘토링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관련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</si>
  <si>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(01332)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3-</t>
    </r>
    <r>
      <rPr>
        <sz val="9"/>
        <rFont val="Dotum"/>
        <family val="3"/>
        <charset val="129"/>
      </rPr>
      <t>다솜반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</si>
  <si>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(01334)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대용량</t>
    </r>
    <r>
      <rPr>
        <sz val="9"/>
        <rFont val="gulim,Verdana"/>
        <family val="2"/>
      </rPr>
      <t xml:space="preserve"> USB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</si>
  <si>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(01360)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학생참여형수업지원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</t>
    </r>
  </si>
  <si>
    <r>
      <t>(01362)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동아리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</si>
  <si>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(01363)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보호자회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생태활동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</si>
  <si>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(01377)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 xml:space="preserve">)2025 </t>
    </r>
    <r>
      <rPr>
        <sz val="9"/>
        <rFont val="Dotum"/>
        <family val="3"/>
        <charset val="129"/>
      </rPr>
      <t>서울형교육복지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대상학생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종합심리검사비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</si>
  <si>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기린정신건강의학과의원</t>
    </r>
  </si>
  <si>
    <r>
      <t>(01395)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문화연수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협의회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실시</t>
    </r>
  </si>
  <si>
    <r>
      <t>(01400)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교원학습공동체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문해력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운영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</si>
  <si>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주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디자인보라</t>
    </r>
  </si>
  <si>
    <r>
      <t>(01401)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배식도우미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용역료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</si>
  <si>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(01345)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연극놀이와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창의미술놀이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</si>
  <si>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(01249)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농산물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지급지급</t>
    </r>
  </si>
  <si>
    <r>
      <t>(01246)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축산물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</si>
  <si>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(01248)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수산물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</si>
  <si>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(01252) 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미술놀이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수업에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필요한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</si>
  <si>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(01245)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공산품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</si>
  <si>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주식회사영우에프디</t>
    </r>
  </si>
  <si>
    <r>
      <t>(01247)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김치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</si>
  <si>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(00364)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3, 4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수영교육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버스비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</si>
  <si>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신동아고속관광주식회사</t>
    </r>
  </si>
  <si>
    <r>
      <t>(01250)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학교급식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곡류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구입대금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</si>
  <si>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(01410)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소프트웨어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</si>
  <si>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(01411)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보결수당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급여외수당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</si>
  <si>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최다정외</t>
    </r>
    <r>
      <rPr>
        <sz val="9"/>
        <rFont val="gulim,Verdana"/>
        <family val="2"/>
      </rPr>
      <t xml:space="preserve"> 6</t>
    </r>
    <r>
      <rPr>
        <sz val="9"/>
        <rFont val="Dotum"/>
        <family val="3"/>
        <charset val="129"/>
      </rPr>
      <t>명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</si>
  <si>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(11/06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</si>
  <si>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 xml:space="preserve">(01437) </t>
    </r>
    <r>
      <rPr>
        <sz val="9"/>
        <rFont val="Dotum"/>
        <family val="3"/>
        <charset val="129"/>
      </rPr>
      <t>급식실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세제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</si>
  <si>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(01434)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육아시간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고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</si>
  <si>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(01435)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병가로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(11/4 </t>
    </r>
    <r>
      <rPr>
        <sz val="9"/>
        <rFont val="Dotum"/>
        <family val="3"/>
        <charset val="129"/>
      </rPr>
      <t>고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상용근로</t>
    </r>
    <r>
      <rPr>
        <sz val="9"/>
        <rFont val="gulim,Verdana"/>
        <family val="2"/>
      </rPr>
      <t>)</t>
    </r>
  </si>
  <si>
    <r>
      <t>(01436)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병가로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(11/5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</si>
  <si>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(01438)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4</t>
    </r>
    <r>
      <rPr>
        <sz val="9"/>
        <rFont val="Dotum"/>
        <family val="3"/>
        <charset val="129"/>
      </rPr>
      <t>대보험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기관부담금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</si>
  <si>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 xml:space="preserve">(01454) </t>
    </r>
    <r>
      <rPr>
        <sz val="9"/>
        <rFont val="Dotum"/>
        <family val="3"/>
        <charset val="129"/>
      </rPr>
      <t>대안교육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위탁교육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학생</t>
    </r>
    <r>
      <rPr>
        <sz val="9"/>
        <rFont val="gulim,Verdana"/>
        <family val="2"/>
      </rPr>
      <t xml:space="preserve"> 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급식비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</si>
  <si>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>(01446) 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늘봄학교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선택형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방과후학교</t>
    </r>
    <r>
      <rPr>
        <sz val="9"/>
        <rFont val="gulim,Verdana"/>
        <family val="2"/>
      </rPr>
      <t>) 3</t>
    </r>
    <r>
      <rPr>
        <sz val="9"/>
        <rFont val="Dotum"/>
        <family val="3"/>
        <charset val="129"/>
      </rPr>
      <t>분기</t>
    </r>
    <r>
      <rPr>
        <sz val="9"/>
        <rFont val="gulim,Verdana"/>
        <family val="2"/>
      </rPr>
      <t>(10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강사료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</si>
  <si>
    <r>
      <t xml:space="preserve">(01464) </t>
    </r>
    <r>
      <rPr>
        <sz val="9"/>
        <rFont val="Dotum"/>
        <family val="3"/>
        <charset val="129"/>
      </rPr>
      <t>과학실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릴호스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설치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전기온수기</t>
    </r>
    <r>
      <rPr>
        <sz val="9"/>
        <rFont val="gulim,Verdana"/>
        <family val="2"/>
      </rPr>
      <t>(2</t>
    </r>
    <r>
      <rPr>
        <sz val="9"/>
        <rFont val="Dotum"/>
        <family val="3"/>
        <charset val="129"/>
      </rPr>
      <t>실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설치비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</si>
  <si>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rPr>
        <sz val="9"/>
        <rFont val="Dotum"/>
        <family val="3"/>
        <charset val="129"/>
      </rPr>
      <t>다누리</t>
    </r>
  </si>
  <si>
    <r>
      <t>(01455)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교육복지실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업무용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안심전화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요금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납부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</si>
  <si>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(11/12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</si>
  <si>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t>(01473)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시간제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돌봄전담사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3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대체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(11/3, 11/10 </t>
    </r>
    <r>
      <rPr>
        <sz val="9"/>
        <rFont val="Dotum"/>
        <family val="3"/>
        <charset val="129"/>
      </rPr>
      <t>정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</si>
  <si>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정인숙</t>
    </r>
  </si>
  <si>
    <r>
      <t>(01474)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</t>
    </r>
    <r>
      <rPr>
        <sz val="9"/>
        <rFont val="Dotum"/>
        <family val="3"/>
        <charset val="129"/>
      </rPr>
      <t>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원고료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</si>
  <si>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성미선</t>
    </r>
  </si>
  <si>
    <r>
      <t>(01475)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5, 6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성인지감수성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강사비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사업소득</t>
    </r>
    <r>
      <rPr>
        <sz val="9"/>
        <rFont val="gulim,Verdana"/>
        <family val="2"/>
      </rPr>
      <t>)</t>
    </r>
  </si>
  <si>
    <r>
      <t>(01433) (S2B) 2025.9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>~2026.2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교직원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생일기념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상품권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추가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지출</t>
    </r>
  </si>
  <si>
    <r>
      <t>(01396) (</t>
    </r>
    <r>
      <rPr>
        <sz val="9"/>
        <rFont val="Dotum"/>
        <family val="3"/>
        <charset val="129"/>
      </rPr>
      <t>반납결의</t>
    </r>
    <r>
      <rPr>
        <sz val="9"/>
        <rFont val="gulim,Verdana"/>
        <family val="2"/>
      </rPr>
      <t>)(11/12</t>
    </r>
    <r>
      <rPr>
        <sz val="9"/>
        <rFont val="Dotum"/>
        <family val="3"/>
        <charset val="129"/>
      </rPr>
      <t>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카드결재</t>
    </r>
    <r>
      <rPr>
        <sz val="9"/>
        <rFont val="gulim,Verdana"/>
        <family val="2"/>
      </rPr>
      <t>)(</t>
    </r>
    <r>
      <rPr>
        <sz val="9"/>
        <rFont val="Dotum"/>
        <family val="3"/>
        <charset val="129"/>
      </rPr>
      <t>카드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교무실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내빈접대용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구입물품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일부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취소에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따른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반납</t>
    </r>
  </si>
  <si>
    <r>
      <t>(01472) 2,3,5,6</t>
    </r>
    <r>
      <rPr>
        <sz val="9"/>
        <rFont val="Dotum"/>
        <family val="3"/>
        <charset val="129"/>
      </rPr>
      <t>학년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구강검사비</t>
    </r>
    <r>
      <rPr>
        <sz val="9"/>
        <rFont val="gulim,Verdana"/>
        <family val="2"/>
      </rPr>
      <t>/574</t>
    </r>
    <r>
      <rPr>
        <sz val="9"/>
        <rFont val="Dotum"/>
        <family val="3"/>
        <charset val="129"/>
      </rPr>
      <t>명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다인치과의원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</si>
  <si>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rPr>
        <sz val="9"/>
        <rFont val="Dotum"/>
        <family val="3"/>
        <charset val="129"/>
      </rPr>
      <t>다인치과의원</t>
    </r>
  </si>
  <si>
    <r>
      <t>(01447)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초등스포츠강사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급여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기타급여</t>
    </r>
    <r>
      <rPr>
        <sz val="9"/>
        <rFont val="gulim,Verdana"/>
        <family val="2"/>
      </rPr>
      <t>1)</t>
    </r>
  </si>
  <si>
    <r>
      <t>(01487) (</t>
    </r>
    <r>
      <rPr>
        <sz val="9"/>
        <rFont val="Dotum"/>
        <family val="3"/>
        <charset val="129"/>
      </rPr>
      <t>지출</t>
    </r>
    <r>
      <rPr>
        <sz val="9"/>
        <rFont val="gulim,Verdana"/>
        <family val="2"/>
      </rPr>
      <t>)2025</t>
    </r>
    <r>
      <rPr>
        <sz val="9"/>
        <rFont val="Dotum"/>
        <family val="3"/>
        <charset val="129"/>
      </rPr>
      <t>학년도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초등돌봄교실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돌봄</t>
    </r>
    <r>
      <rPr>
        <sz val="9"/>
        <rFont val="gulim,Verdana"/>
        <family val="2"/>
      </rPr>
      <t>1</t>
    </r>
    <r>
      <rPr>
        <sz val="9"/>
        <rFont val="Dotum"/>
        <family val="3"/>
        <charset val="129"/>
      </rPr>
      <t>반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전일제돌봄전담사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연차로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인한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대체강사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인건비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지급</t>
    </r>
    <r>
      <rPr>
        <sz val="9"/>
        <rFont val="gulim,Verdana"/>
        <family val="2"/>
      </rPr>
      <t xml:space="preserve">(11/10~11/11 </t>
    </r>
    <r>
      <rPr>
        <sz val="9"/>
        <rFont val="Dotum"/>
        <family val="3"/>
        <charset val="129"/>
      </rPr>
      <t>윤</t>
    </r>
    <r>
      <rPr>
        <sz val="9"/>
        <rFont val="gulim,Verdana"/>
        <family val="2"/>
      </rPr>
      <t xml:space="preserve">** / </t>
    </r>
    <r>
      <rPr>
        <sz val="9"/>
        <rFont val="Dotum"/>
        <family val="3"/>
        <charset val="129"/>
      </rPr>
      <t>일용임금</t>
    </r>
    <r>
      <rPr>
        <sz val="9"/>
        <rFont val="gulim,Verdana"/>
        <family val="2"/>
      </rPr>
      <t>)</t>
    </r>
  </si>
  <si>
    <r>
      <t>(00386) 2025</t>
    </r>
    <r>
      <rPr>
        <sz val="9"/>
        <rFont val="Dotum"/>
        <family val="3"/>
        <charset val="129"/>
      </rPr>
      <t>년</t>
    </r>
    <r>
      <rPr>
        <sz val="9"/>
        <rFont val="gulim,Verdana"/>
        <family val="2"/>
      </rPr>
      <t xml:space="preserve"> 11</t>
    </r>
    <r>
      <rPr>
        <sz val="9"/>
        <rFont val="Dotum"/>
        <family val="3"/>
        <charset val="129"/>
      </rPr>
      <t>월</t>
    </r>
    <r>
      <rPr>
        <sz val="9"/>
        <rFont val="gulim,Verdana"/>
        <family val="2"/>
      </rPr>
      <t xml:space="preserve"> CMS </t>
    </r>
    <r>
      <rPr>
        <sz val="9"/>
        <rFont val="Dotum"/>
        <family val="3"/>
        <charset val="129"/>
      </rPr>
      <t>월사용료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)  </t>
    </r>
    <r>
      <rPr>
        <sz val="9"/>
        <rFont val="Dotum"/>
        <family val="3"/>
        <charset val="129"/>
      </rPr>
      <t>지급</t>
    </r>
  </si>
  <si>
    <r>
      <t>(00037) [</t>
    </r>
    <r>
      <rPr>
        <sz val="9"/>
        <rFont val="Dotum"/>
        <family val="3"/>
        <charset val="129"/>
      </rPr>
      <t>자동이체</t>
    </r>
    <r>
      <rPr>
        <sz val="9"/>
        <rFont val="gulim,Verdana"/>
        <family val="2"/>
      </rPr>
      <t xml:space="preserve">] CMS </t>
    </r>
    <r>
      <rPr>
        <sz val="9"/>
        <rFont val="Dotum"/>
        <family val="3"/>
        <charset val="129"/>
      </rPr>
      <t>수수료</t>
    </r>
    <r>
      <rPr>
        <sz val="9"/>
        <rFont val="gulim,Verdana"/>
        <family val="2"/>
      </rPr>
      <t xml:space="preserve">(11/17 </t>
    </r>
    <r>
      <rPr>
        <sz val="9"/>
        <rFont val="Dotum"/>
        <family val="3"/>
        <charset val="129"/>
      </rPr>
      <t>내부이체</t>
    </r>
    <r>
      <rPr>
        <sz val="9"/>
        <rFont val="gulim,Verdana"/>
        <family val="2"/>
      </rPr>
      <t xml:space="preserve">) </t>
    </r>
    <r>
      <rPr>
        <sz val="9"/>
        <rFont val="Dotum"/>
        <family val="3"/>
        <charset val="129"/>
      </rPr>
      <t>지급</t>
    </r>
  </si>
  <si>
    <r>
      <rPr>
        <b/>
        <sz val="9"/>
        <color theme="1"/>
        <rFont val="맑은 고딕"/>
        <family val="2"/>
        <charset val="129"/>
        <scheme val="minor"/>
      </rPr>
      <t>합계</t>
    </r>
  </si>
  <si>
    <t>불용율</t>
  </si>
  <si>
    <t>원인행위액(B)</t>
    <phoneticPr fontId="1" type="noConversion"/>
  </si>
  <si>
    <t>원인행위잔액(A-B)</t>
    <phoneticPr fontId="1" type="noConversion"/>
  </si>
  <si>
    <t>지출액(C)</t>
    <phoneticPr fontId="1" type="noConversion"/>
  </si>
  <si>
    <t>지출잔액(A-C)</t>
    <phoneticPr fontId="1" type="noConversion"/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</si>
  <si>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</si>
  <si>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교직원연수강사료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</si>
  <si>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</si>
  <si>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기타역량강화지원</t>
    </r>
  </si>
  <si>
    <r>
      <rPr>
        <sz val="9"/>
        <rFont val="Dotum"/>
        <family val="3"/>
        <charset val="129"/>
      </rPr>
      <t>교육공무직원조합원교육비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</si>
  <si>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</si>
  <si>
    <r>
      <rPr>
        <sz val="9"/>
        <rFont val="Dotum"/>
        <family val="3"/>
        <charset val="129"/>
      </rPr>
      <t>교원컨설팅장학수당</t>
    </r>
  </si>
  <si>
    <r>
      <t>(</t>
    </r>
    <r>
      <rPr>
        <sz val="9"/>
        <rFont val="Dotum"/>
        <family val="3"/>
        <charset val="129"/>
      </rPr>
      <t>통합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교원학습공동체연수지원비</t>
    </r>
  </si>
  <si>
    <r>
      <rPr>
        <sz val="9"/>
        <rFont val="Dotum"/>
        <family val="3"/>
        <charset val="129"/>
      </rPr>
      <t>고수민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</si>
  <si>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통합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교원학습공동체외부강사비</t>
    </r>
  </si>
  <si>
    <r>
      <t>(</t>
    </r>
    <r>
      <rPr>
        <sz val="9"/>
        <rFont val="Dotum"/>
        <family val="3"/>
        <charset val="129"/>
      </rPr>
      <t>통합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교원학습공동체연수협의회비</t>
    </r>
  </si>
  <si>
    <r>
      <rPr>
        <sz val="9"/>
        <rFont val="Dotum"/>
        <family val="3"/>
        <charset val="129"/>
      </rPr>
      <t>교직원현장연수비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</si>
  <si>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공립학교시간강사수당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</si>
  <si>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최세경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</si>
  <si>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기간제교원</t>
    </r>
    <r>
      <rPr>
        <sz val="9"/>
        <rFont val="gulim,Verdana"/>
        <family val="2"/>
      </rPr>
      <t>4</t>
    </r>
    <r>
      <rPr>
        <sz val="9"/>
        <rFont val="Dotum"/>
        <family val="3"/>
        <charset val="129"/>
      </rPr>
      <t>대보험기관부담금</t>
    </r>
  </si>
  <si>
    <r>
      <rPr>
        <sz val="9"/>
        <rFont val="Dotum"/>
        <family val="3"/>
        <charset val="129"/>
      </rPr>
      <t>직원대체인건비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</si>
  <si>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</si>
  <si>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자체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기간제근로자법정부담금</t>
    </r>
  </si>
  <si>
    <r>
      <rPr>
        <sz val="9"/>
        <rFont val="Dotum"/>
        <family val="3"/>
        <charset val="129"/>
      </rPr>
      <t>학생및교직원보건안전관리</t>
    </r>
  </si>
  <si>
    <r>
      <rPr>
        <sz val="9"/>
        <rFont val="Dotum"/>
        <family val="3"/>
        <charset val="129"/>
      </rPr>
      <t>응급학생후송비</t>
    </r>
  </si>
  <si>
    <r>
      <rPr>
        <sz val="9"/>
        <rFont val="Dotum"/>
        <family val="3"/>
        <charset val="129"/>
      </rPr>
      <t>비상의료비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</si>
  <si>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</si>
  <si>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</si>
  <si>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약품구입비</t>
    </r>
  </si>
  <si>
    <r>
      <t>(</t>
    </r>
    <r>
      <rPr>
        <sz val="9"/>
        <rFont val="Dotum"/>
        <family val="3"/>
        <charset val="129"/>
      </rPr>
      <t>개별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공기청정기유지관리비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</si>
  <si>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</si>
  <si>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공기질측정검사수수료</t>
    </r>
  </si>
  <si>
    <r>
      <rPr>
        <sz val="9"/>
        <rFont val="Dotum"/>
        <family val="3"/>
        <charset val="129"/>
      </rPr>
      <t>해충방제서비스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</si>
  <si>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김종화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</si>
  <si>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대청소용역비</t>
    </r>
  </si>
  <si>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</si>
  <si>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교육격차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해소</t>
    </r>
  </si>
  <si>
    <r>
      <rPr>
        <sz val="9"/>
        <rFont val="Dotum"/>
        <family val="3"/>
        <charset val="129"/>
      </rPr>
      <t>학비지원</t>
    </r>
  </si>
  <si>
    <r>
      <rPr>
        <sz val="9"/>
        <rFont val="Dotum"/>
        <family val="3"/>
        <charset val="129"/>
      </rPr>
      <t>특수교육대상자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</si>
  <si>
    <r>
      <t>(</t>
    </r>
    <r>
      <rPr>
        <sz val="9"/>
        <rFont val="Dotum"/>
        <family val="3"/>
        <charset val="129"/>
      </rPr>
      <t>개별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특수학급특수보조인건비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</si>
  <si>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최세경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</si>
  <si>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개별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교육강사비</t>
    </r>
  </si>
  <si>
    <r>
      <t>(</t>
    </r>
    <r>
      <rPr>
        <sz val="9"/>
        <rFont val="Dotum"/>
        <family val="3"/>
        <charset val="129"/>
      </rPr>
      <t>개별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학습자료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현장학습비</t>
    </r>
  </si>
  <si>
    <r>
      <t>(</t>
    </r>
    <r>
      <rPr>
        <sz val="9"/>
        <rFont val="Dotum"/>
        <family val="3"/>
        <charset val="129"/>
      </rPr>
      <t>개별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유아급식비</t>
    </r>
  </si>
  <si>
    <r>
      <rPr>
        <sz val="9"/>
        <rFont val="Dotum"/>
        <family val="3"/>
        <charset val="129"/>
      </rPr>
      <t>졸업앨범제작</t>
    </r>
  </si>
  <si>
    <r>
      <t>(</t>
    </r>
    <r>
      <rPr>
        <sz val="9"/>
        <rFont val="Dotum"/>
        <family val="3"/>
        <charset val="129"/>
      </rPr>
      <t>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졸업앨범제작비</t>
    </r>
  </si>
  <si>
    <r>
      <rPr>
        <sz val="9"/>
        <rFont val="Dotum"/>
        <family val="3"/>
        <charset val="129"/>
      </rPr>
      <t>기타수당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</si>
  <si>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</si>
  <si>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개별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특수학급운영비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</si>
  <si>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김종화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최세경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</si>
  <si>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개별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특수돌봄교실지원비</t>
    </r>
  </si>
  <si>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교과활동</t>
    </r>
  </si>
  <si>
    <r>
      <rPr>
        <sz val="9"/>
        <rFont val="Dotum"/>
        <family val="3"/>
        <charset val="129"/>
      </rPr>
      <t>급간식보존식구입비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</si>
  <si>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김종화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박미화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임유리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</si>
  <si>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교실수업지원봉사료</t>
    </r>
  </si>
  <si>
    <r>
      <rPr>
        <sz val="9"/>
        <rFont val="Dotum"/>
        <family val="3"/>
        <charset val="129"/>
      </rPr>
      <t>교재및교구구입</t>
    </r>
  </si>
  <si>
    <r>
      <rPr>
        <sz val="9"/>
        <rFont val="Dotum"/>
        <family val="3"/>
        <charset val="129"/>
      </rPr>
      <t>도서구입</t>
    </r>
  </si>
  <si>
    <r>
      <rPr>
        <sz val="9"/>
        <rFont val="Dotum"/>
        <family val="3"/>
        <charset val="129"/>
      </rPr>
      <t>학습준비물및현장학습비</t>
    </r>
  </si>
  <si>
    <r>
      <t>(</t>
    </r>
    <r>
      <rPr>
        <sz val="9"/>
        <rFont val="Dotum"/>
        <family val="3"/>
        <charset val="129"/>
      </rPr>
      <t>통합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현장체험학습비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</si>
  <si>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김종화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박미화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</si>
  <si>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유아여행자보험</t>
    </r>
  </si>
  <si>
    <r>
      <t>(</t>
    </r>
    <r>
      <rPr>
        <sz val="9"/>
        <rFont val="Dotum"/>
        <family val="3"/>
        <charset val="129"/>
      </rPr>
      <t>통합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교수학습자료구입비</t>
    </r>
  </si>
  <si>
    <r>
      <t>(</t>
    </r>
    <r>
      <rPr>
        <sz val="9"/>
        <rFont val="Dotum"/>
        <family val="3"/>
        <charset val="129"/>
      </rPr>
      <t>보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문예체활동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및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인성교육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프로그램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</si>
  <si>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생태환경교육프로그램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그림책기반요리활동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</si>
  <si>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</si>
  <si>
    <r>
      <rPr>
        <sz val="9"/>
        <rFont val="Dotum"/>
        <family val="3"/>
        <charset val="129"/>
      </rPr>
      <t>인성교육프로그램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그림책기반극놀이활동</t>
    </r>
    <r>
      <rPr>
        <sz val="9"/>
        <rFont val="gulim,Verdana"/>
        <family val="2"/>
      </rPr>
      <t>)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</si>
  <si>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누리과정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유아학비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지원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</si>
  <si>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보조인력비</t>
    </r>
    <r>
      <rPr>
        <sz val="9"/>
        <rFont val="gulim,Verdana"/>
        <family val="2"/>
      </rPr>
      <t>(</t>
    </r>
    <r>
      <rPr>
        <sz val="9"/>
        <rFont val="Dotum"/>
        <family val="3"/>
        <charset val="129"/>
      </rPr>
      <t>방과후과정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유아학비</t>
    </r>
    <r>
      <rPr>
        <sz val="9"/>
        <rFont val="gulim,Verdana"/>
        <family val="2"/>
      </rPr>
      <t>)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</si>
  <si>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남영희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</si>
  <si>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교육과정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유아학비지원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</si>
  <si>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방과후과정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유아학비지원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</si>
  <si>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만</t>
    </r>
    <r>
      <rPr>
        <sz val="9"/>
        <rFont val="gulim,Verdana"/>
        <family val="2"/>
      </rPr>
      <t>3,4,5</t>
    </r>
    <r>
      <rPr>
        <sz val="9"/>
        <rFont val="Dotum"/>
        <family val="3"/>
        <charset val="129"/>
      </rPr>
      <t>세</t>
    </r>
    <r>
      <rPr>
        <sz val="9"/>
        <rFont val="gulim,Verdana"/>
        <family val="2"/>
      </rPr>
      <t xml:space="preserve">  </t>
    </r>
    <r>
      <rPr>
        <sz val="9"/>
        <rFont val="Dotum"/>
        <family val="3"/>
        <charset val="129"/>
      </rPr>
      <t>추가지원금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</si>
  <si>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만</t>
    </r>
    <r>
      <rPr>
        <sz val="9"/>
        <rFont val="gulim,Verdana"/>
        <family val="2"/>
      </rPr>
      <t>4</t>
    </r>
    <r>
      <rPr>
        <sz val="9"/>
        <rFont val="Dotum"/>
        <family val="3"/>
        <charset val="129"/>
      </rPr>
      <t>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무상교육비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</si>
  <si>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만</t>
    </r>
    <r>
      <rPr>
        <sz val="9"/>
        <rFont val="gulim,Verdana"/>
        <family val="2"/>
      </rPr>
      <t>5</t>
    </r>
    <r>
      <rPr>
        <sz val="9"/>
        <rFont val="Dotum"/>
        <family val="3"/>
        <charset val="129"/>
      </rPr>
      <t>세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무상교육비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</si>
  <si>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급식관리</t>
    </r>
  </si>
  <si>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</si>
  <si>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급식식품비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</si>
  <si>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유초연계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이음교육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</si>
  <si>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t>(</t>
    </r>
    <r>
      <rPr>
        <sz val="9"/>
        <rFont val="Dotum"/>
        <family val="3"/>
        <charset val="129"/>
      </rPr>
      <t>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이음교육활동비</t>
    </r>
  </si>
  <si>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</si>
  <si>
    <r>
      <rPr>
        <sz val="9"/>
        <rFont val="Dotum"/>
        <family val="3"/>
        <charset val="129"/>
      </rPr>
      <t>교육활동물품구입비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</si>
  <si>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</si>
  <si>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유치원방과후과정운영</t>
    </r>
  </si>
  <si>
    <r>
      <rPr>
        <sz val="9"/>
        <rFont val="Dotum"/>
        <family val="3"/>
        <charset val="129"/>
      </rPr>
      <t>유치원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방과후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특성화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과정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</si>
  <si>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t>(</t>
    </r>
    <r>
      <rPr>
        <sz val="9"/>
        <rFont val="Dotum"/>
        <family val="3"/>
        <charset val="129"/>
      </rPr>
      <t>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음악강사료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</si>
  <si>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김종화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박미화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임유리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</si>
  <si>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수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과학강사료</t>
    </r>
  </si>
  <si>
    <r>
      <t>(</t>
    </r>
    <r>
      <rPr>
        <sz val="9"/>
        <rFont val="Dotum"/>
        <family val="3"/>
        <charset val="129"/>
      </rPr>
      <t>목적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아침돌봄인력인건비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</si>
  <si>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</si>
  <si>
    <r>
      <rPr>
        <sz val="9"/>
        <rFont val="Dotum"/>
        <family val="3"/>
        <charset val="129"/>
      </rPr>
      <t>교육활동홍보인쇄물제작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</si>
  <si>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임유리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최세경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</si>
  <si>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교육행사제경비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</si>
  <si>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</si>
  <si>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행사비</t>
    </r>
  </si>
  <si>
    <r>
      <rPr>
        <sz val="9"/>
        <rFont val="Dotum"/>
        <family val="3"/>
        <charset val="129"/>
      </rPr>
      <t>교육과정평가협의회</t>
    </r>
  </si>
  <si>
    <r>
      <rPr>
        <sz val="9"/>
        <rFont val="Dotum"/>
        <family val="3"/>
        <charset val="129"/>
      </rPr>
      <t>정보화업무</t>
    </r>
    <r>
      <rPr>
        <sz val="9"/>
        <rFont val="gulim,Verdana"/>
        <family val="2"/>
      </rPr>
      <t xml:space="preserve"> </t>
    </r>
    <r>
      <rPr>
        <sz val="9"/>
        <rFont val="Dotum"/>
        <family val="3"/>
        <charset val="129"/>
      </rPr>
      <t>운영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</si>
  <si>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</si>
  <si>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전산소모품구입</t>
    </r>
  </si>
  <si>
    <r>
      <rPr>
        <sz val="9"/>
        <rFont val="Dotum"/>
        <family val="3"/>
        <charset val="129"/>
      </rPr>
      <t>각종비품구입비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</si>
  <si>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</si>
  <si>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공통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학생안전체험교육및기자재구입비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</si>
  <si>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</si>
  <si>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학교운영위원회간담회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</si>
  <si>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</si>
  <si>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t>(</t>
    </r>
    <r>
      <rPr>
        <sz val="9"/>
        <rFont val="Dotum"/>
        <family val="3"/>
        <charset val="129"/>
      </rPr>
      <t>통합</t>
    </r>
    <r>
      <rPr>
        <sz val="9"/>
        <rFont val="gulim,Verdana"/>
        <family val="2"/>
      </rPr>
      <t>)</t>
    </r>
    <r>
      <rPr>
        <sz val="9"/>
        <rFont val="Dotum"/>
        <family val="3"/>
        <charset val="129"/>
      </rPr>
      <t>학부모회운영비</t>
    </r>
  </si>
  <si>
    <r>
      <rPr>
        <sz val="9"/>
        <rFont val="Dotum"/>
        <family val="3"/>
        <charset val="129"/>
      </rPr>
      <t>학부모교육</t>
    </r>
  </si>
  <si>
    <r>
      <rPr>
        <sz val="9"/>
        <rFont val="Dotum"/>
        <family val="3"/>
        <charset val="129"/>
      </rPr>
      <t>보호자연수제경비</t>
    </r>
  </si>
  <si>
    <r>
      <rPr>
        <sz val="9"/>
        <rFont val="Dotum"/>
        <family val="3"/>
        <charset val="129"/>
      </rPr>
      <t>보호자연수강사료</t>
    </r>
  </si>
  <si>
    <r>
      <rPr>
        <sz val="9"/>
        <rFont val="Dotum"/>
        <family val="3"/>
        <charset val="129"/>
      </rPr>
      <t>병설유치원기본운영</t>
    </r>
  </si>
  <si>
    <r>
      <rPr>
        <sz val="9"/>
        <rFont val="Dotum"/>
        <family val="3"/>
        <charset val="129"/>
      </rPr>
      <t>유치원공공요금및제세공과금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</si>
  <si>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</si>
  <si>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도시가스비</t>
    </r>
  </si>
  <si>
    <r>
      <rPr>
        <sz val="9"/>
        <rFont val="Dotum"/>
        <family val="3"/>
        <charset val="129"/>
      </rPr>
      <t>유치원시설장비유지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</si>
  <si>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남영희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서경미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신창규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이주응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이효진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전인숙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정서은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현진우</t>
    </r>
  </si>
  <si>
    <r>
      <rPr>
        <sz val="9"/>
        <rFont val="Dotum"/>
        <family val="3"/>
        <charset val="129"/>
      </rPr>
      <t>청소미화용역비</t>
    </r>
  </si>
  <si>
    <r>
      <rPr>
        <sz val="9"/>
        <rFont val="Dotum"/>
        <family val="3"/>
        <charset val="129"/>
      </rPr>
      <t>시설관리소모품비</t>
    </r>
  </si>
  <si>
    <r>
      <rPr>
        <sz val="9"/>
        <rFont val="Dotum"/>
        <family val="3"/>
        <charset val="129"/>
      </rPr>
      <t>시설소규모수선비</t>
    </r>
  </si>
  <si>
    <r>
      <rPr>
        <sz val="9"/>
        <rFont val="Dotum"/>
        <family val="3"/>
        <charset val="129"/>
      </rPr>
      <t>김민수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양근영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</si>
  <si>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기관업무추진비</t>
    </r>
  </si>
  <si>
    <r>
      <rPr>
        <sz val="9"/>
        <rFont val="Dotum"/>
        <family val="3"/>
        <charset val="129"/>
      </rPr>
      <t>기타물품구입</t>
    </r>
  </si>
  <si>
    <r>
      <rPr>
        <sz val="9"/>
        <rFont val="Dotum"/>
        <family val="3"/>
        <charset val="129"/>
      </rPr>
      <t>김미미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김은진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염채원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유다연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이은정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이채은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조기조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조희정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최유림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한진옥</t>
    </r>
  </si>
  <si>
    <r>
      <rPr>
        <sz val="9"/>
        <rFont val="Dotum"/>
        <family val="3"/>
        <charset val="129"/>
      </rPr>
      <t>사무용품구입</t>
    </r>
  </si>
  <si>
    <r>
      <rPr>
        <sz val="9"/>
        <rFont val="Dotum"/>
        <family val="3"/>
        <charset val="129"/>
      </rPr>
      <t>세탁비</t>
    </r>
  </si>
  <si>
    <r>
      <rPr>
        <sz val="9"/>
        <rFont val="Dotum"/>
        <family val="3"/>
        <charset val="129"/>
      </rPr>
      <t>손님접대다과비</t>
    </r>
  </si>
  <si>
    <r>
      <rPr>
        <sz val="9"/>
        <rFont val="Dotum"/>
        <family val="3"/>
        <charset val="129"/>
      </rPr>
      <t>각종수수료</t>
    </r>
  </si>
  <si>
    <r>
      <rPr>
        <sz val="9"/>
        <rFont val="Dotum"/>
        <family val="3"/>
        <charset val="129"/>
      </rPr>
      <t>김정기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남영희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신창규</t>
    </r>
    <r>
      <rPr>
        <sz val="9"/>
        <rFont val="gulim,Verdana"/>
        <family val="2"/>
      </rPr>
      <t>,</t>
    </r>
    <r>
      <rPr>
        <sz val="9"/>
        <rFont val="Dotum"/>
        <family val="3"/>
        <charset val="129"/>
      </rPr>
      <t>조상태</t>
    </r>
  </si>
  <si>
    <r>
      <rPr>
        <sz val="9"/>
        <rFont val="Dotum"/>
        <family val="3"/>
        <charset val="129"/>
      </rPr>
      <t>관내외출장여비</t>
    </r>
  </si>
  <si>
    <r>
      <rPr>
        <sz val="9"/>
        <rFont val="Dotum"/>
        <family val="3"/>
        <charset val="129"/>
      </rPr>
      <t>행정실업무협의회비</t>
    </r>
  </si>
  <si>
    <t>학생및교직원보건안전관리 합계</t>
  </si>
  <si>
    <t>학비지원 합계</t>
  </si>
  <si>
    <t>유치원 교과활동 합계</t>
  </si>
  <si>
    <t>유치원방과후과정운영 합계</t>
  </si>
  <si>
    <t>병설유치원기본운영 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</si>
</sst>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;[Red]\-#,##0\ "/>
    <numFmt numFmtId="177" formatCode="#,###_ "/>
    <numFmt numFmtId="178" formatCode="[$-412]yyyy\-mm\-dd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0"/>
      <name val="Arial"/>
      <family val="2"/>
    </font>
    <font>
      <b/>
      <sz val="11"/>
      <color rgb="FF0070C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9"/>
      <name val="Dotum"/>
      <family val="3"/>
      <charset val="129"/>
    </font>
    <font>
      <b/>
      <sz val="9"/>
      <name val="gulim,Verdana"/>
      <family val="2"/>
    </font>
    <font>
      <sz val="9"/>
      <name val="gulim,Verdana"/>
      <family val="2"/>
    </font>
    <font>
      <sz val="9"/>
      <name val="Dotum"/>
      <family val="3"/>
      <charset val="129"/>
    </font>
    <font>
      <u/>
      <sz val="9"/>
      <name val="gulim,Verdana"/>
      <family val="2"/>
    </font>
    <font>
      <b/>
      <sz val="9"/>
      <color theme="0"/>
      <name val="굴림체"/>
      <family val="3"/>
      <charset val="129"/>
    </font>
    <font>
      <b/>
      <sz val="9"/>
      <name val="gulim,Verdana"/>
    </font>
    <font>
      <b/>
      <sz val="9"/>
      <color theme="1"/>
      <name val="gulim,Verdana"/>
    </font>
    <font>
      <b/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5117038483843"/>
        <bgColor indexed="64"/>
      </patternFill>
    </fill>
    <fill>
      <patternFill patternType="solid">
        <fgColor rgb="FF010000"/>
        <bgColor indexed="64"/>
      </patternFill>
    </fill>
    <fill>
      <patternFill patternType="solid">
        <fgColor rgb="FFFFFFFF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n">
        <color indexed="8"/>
      </bottom>
      <diagonal/>
    </border>
    <border>
      <left style="thick">
        <color indexed="10"/>
      </left>
      <right style="thick">
        <color indexed="10"/>
      </right>
      <top style="thin">
        <color indexed="8"/>
      </top>
      <bottom style="thin">
        <color indexed="8"/>
      </bottom>
      <diagonal/>
    </border>
    <border>
      <left style="thick">
        <color indexed="10"/>
      </left>
      <right style="thick">
        <color indexed="10"/>
      </right>
      <top style="thin">
        <color indexed="8"/>
      </top>
      <bottom style="thick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/>
    <xf numFmtId="0" fontId="4" fillId="0" borderId="0"/>
    <xf numFmtId="0" fontId="3" fillId="0" borderId="0">
      <alignment vertical="center"/>
    </xf>
    <xf numFmtId="0" fontId="2" fillId="0" borderId="0"/>
    <xf numFmtId="41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/>
    <xf numFmtId="0" fontId="5" fillId="0" borderId="0" xfId="0" applyFont="1" applyAlignment="1"/>
    <xf numFmtId="0" fontId="9" fillId="2" borderId="1" xfId="0" applyFont="1" applyFill="1" applyBorder="1" applyAlignment="1">
      <alignment horizontal="left" vertical="center" shrinkToFit="1"/>
    </xf>
    <xf numFmtId="0" fontId="8" fillId="2" borderId="1" xfId="0" applyFont="1" applyFill="1" applyBorder="1" applyAlignment="1">
      <alignment horizontal="left" vertical="center" shrinkToFit="1"/>
    </xf>
    <xf numFmtId="0" fontId="12" fillId="3" borderId="1" xfId="0" applyFont="1" applyFill="1" applyBorder="1" applyAlignment="1">
      <alignment horizontal="center" vertical="center" shrinkToFit="1"/>
    </xf>
    <xf numFmtId="3" fontId="9" fillId="2" borderId="1" xfId="0" applyNumberFormat="1" applyFont="1" applyFill="1" applyBorder="1" applyAlignment="1">
      <alignment horizontal="right" vertical="center" shrinkToFit="1"/>
    </xf>
    <xf numFmtId="0" fontId="12" fillId="3" borderId="2" xfId="0" applyFont="1" applyFill="1" applyBorder="1" applyAlignment="1">
      <alignment horizontal="center" vertical="center" shrinkToFit="1"/>
    </xf>
    <xf numFmtId="176" fontId="9" fillId="2" borderId="3" xfId="0" applyNumberFormat="1" applyFont="1" applyFill="1" applyBorder="1" applyAlignment="1">
      <alignment horizontal="right" vertical="center" shrinkToFit="1"/>
    </xf>
    <xf numFmtId="176" fontId="9" fillId="2" borderId="4" xfId="0" applyNumberFormat="1" applyFont="1" applyFill="1" applyBorder="1" applyAlignment="1">
      <alignment horizontal="right" vertical="center" shrinkToFit="1"/>
    </xf>
    <xf numFmtId="0" fontId="13" fillId="2" borderId="1" xfId="0" applyFont="1" applyFill="1" applyBorder="1" applyAlignment="1">
      <alignment horizontal="center" vertical="center" shrinkToFit="1"/>
    </xf>
    <xf numFmtId="0" fontId="9" fillId="4" borderId="1" xfId="0" applyFont="1" applyFill="1" applyBorder="1" applyAlignment="1">
      <alignment horizontal="left" vertical="center" shrinkToFit="1"/>
    </xf>
    <xf numFmtId="177" fontId="11" fillId="2" borderId="1" xfId="0" applyNumberFormat="1" applyFont="1" applyFill="1" applyBorder="1" applyAlignment="1">
      <alignment horizontal="right" vertical="center" shrinkToFit="1"/>
    </xf>
    <xf numFmtId="3" fontId="9" fillId="4" borderId="1" xfId="0" applyNumberFormat="1" applyFont="1" applyFill="1" applyBorder="1" applyAlignment="1">
      <alignment horizontal="right" vertical="center" shrinkToFit="1"/>
    </xf>
    <xf numFmtId="176" fontId="9" fillId="4" borderId="3" xfId="0" applyNumberFormat="1" applyFont="1" applyFill="1" applyBorder="1" applyAlignment="1">
      <alignment horizontal="right" vertical="center" shrinkToFit="1"/>
    </xf>
    <xf numFmtId="177" fontId="11" fillId="4" borderId="1" xfId="0" applyNumberFormat="1" applyFont="1" applyFill="1" applyBorder="1" applyAlignment="1">
      <alignment horizontal="right" vertical="center" shrinkToFit="1"/>
    </xf>
    <xf numFmtId="0" fontId="9" fillId="4" borderId="1" xfId="0" applyFont="1" applyFill="1" applyBorder="1" applyAlignment="1">
      <alignment horizontal="left" vertical="center" shrinkToFit="1"/>
    </xf>
    <xf numFmtId="41" fontId="0" fillId="0" borderId="0" xfId="5" applyFont="1">
      <alignment vertical="center"/>
    </xf>
    <xf numFmtId="178" fontId="9" fillId="4" borderId="1" xfId="0" applyNumberFormat="1" applyFont="1" applyFill="1" applyBorder="1" applyAlignment="1">
      <alignment horizontal="center" vertical="center" shrinkToFit="1"/>
    </xf>
    <xf numFmtId="41" fontId="9" fillId="4" borderId="1" xfId="5" applyFont="1" applyFill="1" applyBorder="1" applyAlignment="1">
      <alignment horizontal="right" vertical="center" shrinkToFit="1"/>
    </xf>
    <xf numFmtId="0" fontId="14" fillId="2" borderId="5" xfId="0" applyFont="1" applyFill="1" applyBorder="1" applyAlignment="1">
      <alignment horizontal="center" vertical="center"/>
    </xf>
    <xf numFmtId="41" fontId="8" fillId="2" borderId="5" xfId="5" applyFont="1" applyFill="1" applyBorder="1" applyAlignment="1">
      <alignment horizontal="center" vertical="center" shrinkToFit="1"/>
    </xf>
    <xf numFmtId="41" fontId="12" fillId="3" borderId="1" xfId="5" applyFont="1" applyFill="1" applyBorder="1" applyAlignment="1">
      <alignment horizontal="center" vertical="center" shrinkToFit="1"/>
    </xf>
    <xf numFmtId="177" fontId="11" fillId="4" borderId="1" xfId="0" applyNumberFormat="1" applyFont="1" applyFill="1" applyBorder="1" applyAlignment="1">
      <alignment horizontal="right" vertical="center" shrinkToFit="1"/>
    </xf>
    <xf numFmtId="0" fontId="9" fillId="4" borderId="1" xfId="0" applyFont="1" applyFill="1" applyBorder="1" applyAlignment="1">
      <alignment horizontal="left" vertical="center" shrinkToFit="1"/>
    </xf>
    <xf numFmtId="177" fontId="9" fillId="4" borderId="1" xfId="0" applyNumberFormat="1" applyFont="1" applyFill="1" applyBorder="1" applyAlignment="1">
      <alignment horizontal="right" vertical="center" shrinkToFit="1"/>
    </xf>
    <xf numFmtId="9" fontId="9" fillId="2" borderId="1" xfId="6" applyFont="1" applyFill="1" applyBorder="1" applyAlignment="1">
      <alignment horizontal="right" vertical="center" shrinkToFit="1"/>
    </xf>
  </cellXfs>
  <cellStyles count="7">
    <cellStyle name="백분율" xfId="6" builtinId="5"/>
    <cellStyle name="쉼표 [0]" xfId="5" builtinId="6"/>
    <cellStyle name="표준" xfId="0" builtinId="0"/>
    <cellStyle name="표준 2" xfId="1" xr:uid="{00000000-0005-0000-0000-000002000000}"/>
    <cellStyle name="표준 3" xfId="2" xr:uid="{00000000-0005-0000-0000-000003000000}"/>
    <cellStyle name="표준 3 2" xfId="4" xr:uid="{00000000-0005-0000-0000-000004000000}"/>
    <cellStyle name="표준 4" xfId="3" xr:uid="{00000000-0005-0000-0000-000005000000}"/>
  </cellStyles>
  <dxfs count="0"/>
  <tableStyles count="0" defaultTableStyle="TableStyleMedium9" defaultPivotStyle="PivotStyleLight16"/>
  <colors>
    <mruColors>
      <color rgb="FF99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9</xdr:col>
      <xdr:colOff>533401</xdr:colOff>
      <xdr:row>22</xdr:row>
      <xdr:rowOff>161925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" y="0"/>
          <a:ext cx="6685429" cy="4845984"/>
          <a:chOff x="0" y="0"/>
          <a:chExt cx="6692900" cy="5019675"/>
        </a:xfrm>
      </xdr:grpSpPr>
      <xdr:pic>
        <xdr:nvPicPr>
          <xdr:cNvPr id="4" name="그림 3" descr="학교회계 지출현황2.jpg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0"/>
            <a:ext cx="6692900" cy="5019675"/>
          </a:xfrm>
          <a:prstGeom prst="rect">
            <a:avLst/>
          </a:prstGeom>
        </xdr:spPr>
      </xdr:pic>
      <xdr:pic macro="[0]!학교회계집행현황">
        <xdr:nvPicPr>
          <xdr:cNvPr id="3" name="그림 2" descr="학교회계 지출현황2.jpg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rcRect l="7396" t="35139" r="71563" b="37778"/>
          <a:stretch>
            <a:fillRect/>
          </a:stretch>
        </xdr:blipFill>
        <xdr:spPr>
          <a:xfrm>
            <a:off x="333375" y="1685925"/>
            <a:ext cx="1695450" cy="163669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200025</xdr:colOff>
      <xdr:row>6</xdr:row>
      <xdr:rowOff>142875</xdr:rowOff>
    </xdr:from>
    <xdr:to>
      <xdr:col>2</xdr:col>
      <xdr:colOff>657225</xdr:colOff>
      <xdr:row>16</xdr:row>
      <xdr:rowOff>38100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00025" y="1400175"/>
          <a:ext cx="1828800" cy="19907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6</xdr:col>
      <xdr:colOff>571500</xdr:colOff>
      <xdr:row>7</xdr:row>
      <xdr:rowOff>152400</xdr:rowOff>
    </xdr:from>
    <xdr:to>
      <xdr:col>8</xdr:col>
      <xdr:colOff>628471</xdr:colOff>
      <xdr:row>12</xdr:row>
      <xdr:rowOff>123698</xdr:rowOff>
    </xdr:to>
    <xdr:pic macro="[0]!현액일괄조회">
      <xdr:nvPicPr>
        <xdr:cNvPr id="7" name="그림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686300" y="1619250"/>
          <a:ext cx="1428571" cy="1019048"/>
        </a:xfrm>
        <a:prstGeom prst="rect">
          <a:avLst/>
        </a:prstGeom>
      </xdr:spPr>
    </xdr:pic>
    <xdr:clientData/>
  </xdr:twoCellAnchor>
  <xdr:twoCellAnchor editAs="oneCell">
    <xdr:from>
      <xdr:col>6</xdr:col>
      <xdr:colOff>542925</xdr:colOff>
      <xdr:row>17</xdr:row>
      <xdr:rowOff>19050</xdr:rowOff>
    </xdr:from>
    <xdr:to>
      <xdr:col>8</xdr:col>
      <xdr:colOff>630197</xdr:colOff>
      <xdr:row>22</xdr:row>
      <xdr:rowOff>38100</xdr:rowOff>
    </xdr:to>
    <xdr:pic macro="[0]!현금출납부"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657725" y="3581400"/>
          <a:ext cx="1458872" cy="1066800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0</xdr:row>
      <xdr:rowOff>95250</xdr:rowOff>
    </xdr:from>
    <xdr:to>
      <xdr:col>9</xdr:col>
      <xdr:colOff>323660</xdr:colOff>
      <xdr:row>2</xdr:row>
      <xdr:rowOff>152340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4972050" y="95250"/>
          <a:ext cx="1523810" cy="476190"/>
        </a:xfrm>
        <a:prstGeom prst="rect">
          <a:avLst/>
        </a:prstGeom>
      </xdr:spPr>
    </xdr:pic>
    <xdr:clientData/>
  </xdr:twoCellAnchor>
  <xdr:twoCellAnchor editAs="oneCell">
    <xdr:from>
      <xdr:col>6</xdr:col>
      <xdr:colOff>625817</xdr:colOff>
      <xdr:row>12</xdr:row>
      <xdr:rowOff>114300</xdr:rowOff>
    </xdr:from>
    <xdr:to>
      <xdr:col>8</xdr:col>
      <xdr:colOff>544455</xdr:colOff>
      <xdr:row>17</xdr:row>
      <xdr:rowOff>66675</xdr:rowOff>
    </xdr:to>
    <xdr:pic macro="[0]!추경">
      <xdr:nvPicPr>
        <xdr:cNvPr id="2" name="그림 1">
          <a:extLst>
            <a:ext uri="{FF2B5EF4-FFF2-40B4-BE49-F238E27FC236}">
              <a16:creationId xmlns:a16="http://schemas.microsoft.com/office/drawing/2014/main" id="{9677037D-439C-4EB5-AF98-823438546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40617" y="2628900"/>
          <a:ext cx="1290238" cy="1000125"/>
        </a:xfrm>
        <a:prstGeom prst="rect">
          <a:avLst/>
        </a:prstGeom>
      </xdr:spPr>
    </xdr:pic>
    <xdr:clientData/>
  </xdr:twoCellAnchor>
  <xdr:twoCellAnchor editAs="oneCell">
    <xdr:from>
      <xdr:col>10</xdr:col>
      <xdr:colOff>58306</xdr:colOff>
      <xdr:row>23</xdr:row>
      <xdr:rowOff>114299</xdr:rowOff>
    </xdr:from>
    <xdr:to>
      <xdr:col>19</xdr:col>
      <xdr:colOff>95250</xdr:colOff>
      <xdr:row>49</xdr:row>
      <xdr:rowOff>123824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02F3494-097F-4A93-B60E-506B67F54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16306" y="4933949"/>
          <a:ext cx="6209144" cy="5457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114300</xdr:rowOff>
    </xdr:from>
    <xdr:to>
      <xdr:col>9</xdr:col>
      <xdr:colOff>543263</xdr:colOff>
      <xdr:row>49</xdr:row>
      <xdr:rowOff>114300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71A7C54-3EA6-4AF8-8F1D-2A0F35EDC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933950"/>
          <a:ext cx="6715463" cy="544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266701</xdr:colOff>
      <xdr:row>23</xdr:row>
      <xdr:rowOff>114300</xdr:rowOff>
    </xdr:from>
    <xdr:to>
      <xdr:col>29</xdr:col>
      <xdr:colOff>228601</xdr:colOff>
      <xdr:row>49</xdr:row>
      <xdr:rowOff>94571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A15C92E-4572-4AB6-9510-AC20806E2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296901" y="4933950"/>
          <a:ext cx="6819900" cy="5428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0070C0"/>
    <pageSetUpPr fitToPage="1"/>
  </sheetPr>
  <dimension ref="K13"/>
  <sheetViews>
    <sheetView showGridLines="0" topLeftCell="A19" zoomScale="85" zoomScaleNormal="85" workbookViewId="0">
      <selection activeCell="P15" sqref="P15"/>
    </sheetView>
  </sheetViews>
  <sheetFormatPr defaultColWidth="9" defaultRowHeight="16.5"/>
  <cols>
    <col min="1" max="10" width="9" style="1"/>
    <col min="11" max="11" width="9" style="1" customWidth="1"/>
    <col min="12" max="16384" width="9" style="1"/>
  </cols>
  <sheetData>
    <row r="13" spans="11:11">
      <c r="K13" s="2"/>
    </row>
  </sheetData>
  <sheetProtection algorithmName="SHA-512" hashValue="iy5EHPoxs2QvL1r7wmWpDdODxNcEO2eNMeZSCh/Wf21XMAA5Kg8JBLQuakfNjub84OA+oj3IbqExQaiYYG43QA==" saltValue="COc2CktVPsRg+zfwqayOXQ==" spinCount="100000" sheet="1" objects="1" scenarios="1"/>
  <phoneticPr fontId="1" type="noConversion"/>
  <pageMargins left="0.39" right="0.17" top="0.39" bottom="0.35" header="0.31496062992125984" footer="0.31496062992125984"/>
  <pageSetup paperSize="9" scale="4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0000"/>
    <pageSetUpPr fitToPage="1"/>
  </sheetPr>
  <dimension ref="A1:N107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6.5" outlineLevelRow="2"/>
  <cols>
    <col min="1" max="3" width="15.625" customWidth="1"/>
    <col min="4" max="4" width="18.625" customWidth="1"/>
    <col min="5" max="5" width="30.625" customWidth="1"/>
    <col min="6" max="8" width="11.625" customWidth="1"/>
    <col min="9" max="9" width="13.625" customWidth="1"/>
    <col min="10" max="11" width="11.625" customWidth="1"/>
    <col min="12" max="12" width="5.625" customWidth="1"/>
    <col min="13" max="13" width="11.625" customWidth="1"/>
    <col min="14" max="14" width="25" customWidth="1"/>
  </cols>
  <sheetData>
    <row r="1" spans="1:1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2185</v>
      </c>
      <c r="I1" s="5" t="s">
        <v>2186</v>
      </c>
      <c r="J1" s="5" t="s">
        <v>2187</v>
      </c>
      <c r="K1" s="5" t="s">
        <v>2188</v>
      </c>
      <c r="L1" s="5" t="s">
        <v>2184</v>
      </c>
      <c r="M1" s="5" t="s">
        <v>8</v>
      </c>
      <c r="N1" s="10" t="s">
        <v>111</v>
      </c>
    </row>
    <row r="2" spans="1:14" outlineLevel="2">
      <c r="A2" s="16" t="s">
        <v>9</v>
      </c>
      <c r="B2" s="16" t="s">
        <v>10</v>
      </c>
      <c r="C2" s="16" t="s">
        <v>11</v>
      </c>
      <c r="D2" s="16" t="s">
        <v>112</v>
      </c>
      <c r="E2" s="16" t="s">
        <v>113</v>
      </c>
      <c r="F2" s="16" t="s">
        <v>12</v>
      </c>
      <c r="G2" s="13">
        <v>900000</v>
      </c>
      <c r="H2" s="13">
        <v>0</v>
      </c>
      <c r="I2" s="13">
        <f t="shared" ref="I2:I8" si="0">G2-H2</f>
        <v>900000</v>
      </c>
      <c r="J2" s="13">
        <v>0</v>
      </c>
      <c r="K2" s="13">
        <f t="shared" ref="K2:K20" si="1">G2-J2</f>
        <v>900000</v>
      </c>
      <c r="L2" s="25"/>
      <c r="M2" s="15">
        <v>0</v>
      </c>
      <c r="N2" s="16" t="s">
        <v>2189</v>
      </c>
    </row>
    <row r="3" spans="1:14" outlineLevel="2">
      <c r="A3" s="16" t="s">
        <v>9</v>
      </c>
      <c r="B3" s="16" t="s">
        <v>10</v>
      </c>
      <c r="C3" s="16" t="s">
        <v>11</v>
      </c>
      <c r="D3" s="16" t="s">
        <v>114</v>
      </c>
      <c r="E3" s="16" t="s">
        <v>2190</v>
      </c>
      <c r="F3" s="16" t="s">
        <v>25</v>
      </c>
      <c r="G3" s="13">
        <v>500000</v>
      </c>
      <c r="H3" s="13">
        <v>0</v>
      </c>
      <c r="I3" s="13">
        <f t="shared" si="0"/>
        <v>500000</v>
      </c>
      <c r="J3" s="13">
        <v>0</v>
      </c>
      <c r="K3" s="13">
        <f t="shared" si="1"/>
        <v>500000</v>
      </c>
      <c r="L3" s="25"/>
      <c r="M3" s="15">
        <v>0</v>
      </c>
      <c r="N3" s="16" t="s">
        <v>2191</v>
      </c>
    </row>
    <row r="4" spans="1:14" outlineLevel="2">
      <c r="A4" s="16" t="s">
        <v>9</v>
      </c>
      <c r="B4" s="16" t="s">
        <v>10</v>
      </c>
      <c r="C4" s="16" t="s">
        <v>11</v>
      </c>
      <c r="D4" s="16" t="s">
        <v>2192</v>
      </c>
      <c r="E4" s="16" t="s">
        <v>2193</v>
      </c>
      <c r="F4" s="16" t="s">
        <v>15</v>
      </c>
      <c r="G4" s="13">
        <v>160000</v>
      </c>
      <c r="H4" s="13">
        <v>0</v>
      </c>
      <c r="I4" s="13">
        <f t="shared" si="0"/>
        <v>160000</v>
      </c>
      <c r="J4" s="13">
        <v>0</v>
      </c>
      <c r="K4" s="13">
        <f t="shared" si="1"/>
        <v>160000</v>
      </c>
      <c r="L4" s="25"/>
      <c r="M4" s="23">
        <v>0</v>
      </c>
      <c r="N4" s="24" t="s">
        <v>2194</v>
      </c>
    </row>
    <row r="5" spans="1:14" outlineLevel="2">
      <c r="A5" s="16" t="s">
        <v>9</v>
      </c>
      <c r="B5" s="16" t="s">
        <v>10</v>
      </c>
      <c r="C5" s="16" t="s">
        <v>11</v>
      </c>
      <c r="D5" s="16" t="s">
        <v>2192</v>
      </c>
      <c r="E5" s="16" t="s">
        <v>2195</v>
      </c>
      <c r="F5" s="16" t="s">
        <v>25</v>
      </c>
      <c r="G5" s="13">
        <v>0</v>
      </c>
      <c r="H5" s="13">
        <v>50000</v>
      </c>
      <c r="I5" s="13">
        <f t="shared" si="0"/>
        <v>-50000</v>
      </c>
      <c r="J5" s="13">
        <v>50000</v>
      </c>
      <c r="K5" s="13">
        <f t="shared" si="1"/>
        <v>-50000</v>
      </c>
      <c r="L5" s="25"/>
      <c r="M5" s="23">
        <v>0</v>
      </c>
      <c r="N5" s="24" t="s">
        <v>2194</v>
      </c>
    </row>
    <row r="6" spans="1:14" outlineLevel="2">
      <c r="A6" s="16" t="s">
        <v>9</v>
      </c>
      <c r="B6" s="16" t="s">
        <v>10</v>
      </c>
      <c r="C6" s="16" t="s">
        <v>11</v>
      </c>
      <c r="D6" s="16" t="s">
        <v>115</v>
      </c>
      <c r="E6" s="16" t="s">
        <v>2196</v>
      </c>
      <c r="F6" s="16" t="s">
        <v>15</v>
      </c>
      <c r="G6" s="13">
        <v>230000</v>
      </c>
      <c r="H6" s="13">
        <v>0</v>
      </c>
      <c r="I6" s="13">
        <f t="shared" si="0"/>
        <v>230000</v>
      </c>
      <c r="J6" s="13">
        <v>0</v>
      </c>
      <c r="K6" s="13">
        <f t="shared" si="1"/>
        <v>230000</v>
      </c>
      <c r="L6" s="25"/>
      <c r="M6" s="23">
        <v>0</v>
      </c>
      <c r="N6" s="24" t="s">
        <v>2197</v>
      </c>
    </row>
    <row r="7" spans="1:14" outlineLevel="2">
      <c r="A7" s="16" t="s">
        <v>9</v>
      </c>
      <c r="B7" s="16" t="s">
        <v>10</v>
      </c>
      <c r="C7" s="16" t="s">
        <v>11</v>
      </c>
      <c r="D7" s="16" t="s">
        <v>115</v>
      </c>
      <c r="E7" s="16" t="s">
        <v>2198</v>
      </c>
      <c r="F7" s="16" t="s">
        <v>25</v>
      </c>
      <c r="G7" s="13">
        <v>300000</v>
      </c>
      <c r="H7" s="13">
        <v>0</v>
      </c>
      <c r="I7" s="13">
        <f t="shared" si="0"/>
        <v>300000</v>
      </c>
      <c r="J7" s="13">
        <v>0</v>
      </c>
      <c r="K7" s="13">
        <f t="shared" si="1"/>
        <v>300000</v>
      </c>
      <c r="L7" s="25"/>
      <c r="M7" s="23">
        <v>0</v>
      </c>
      <c r="N7" s="24" t="s">
        <v>2197</v>
      </c>
    </row>
    <row r="8" spans="1:14" outlineLevel="2">
      <c r="A8" s="16" t="s">
        <v>9</v>
      </c>
      <c r="B8" s="16" t="s">
        <v>10</v>
      </c>
      <c r="C8" s="16" t="s">
        <v>11</v>
      </c>
      <c r="D8" s="16" t="s">
        <v>115</v>
      </c>
      <c r="E8" s="16" t="s">
        <v>2199</v>
      </c>
      <c r="F8" s="16" t="s">
        <v>14</v>
      </c>
      <c r="G8" s="13">
        <v>70000</v>
      </c>
      <c r="H8" s="13">
        <v>0</v>
      </c>
      <c r="I8" s="13">
        <f t="shared" si="0"/>
        <v>70000</v>
      </c>
      <c r="J8" s="13">
        <v>0</v>
      </c>
      <c r="K8" s="13">
        <f t="shared" si="1"/>
        <v>70000</v>
      </c>
      <c r="L8" s="25"/>
      <c r="M8" s="23">
        <v>0</v>
      </c>
      <c r="N8" s="24" t="s">
        <v>2197</v>
      </c>
    </row>
    <row r="9" spans="1:14" outlineLevel="1">
      <c r="A9" s="3"/>
      <c r="B9" s="3"/>
      <c r="C9" s="4" t="s">
        <v>16</v>
      </c>
      <c r="D9" s="3"/>
      <c r="E9" s="3"/>
      <c r="F9" s="3"/>
      <c r="G9" s="6">
        <f>SUBTOTAL(9,G2:G8)</f>
        <v>2160000</v>
      </c>
      <c r="H9" s="6">
        <f>SUBTOTAL(9,H2:H8)</f>
        <v>50000</v>
      </c>
      <c r="I9" s="6">
        <f>SUBTOTAL(9,I2:I8)</f>
        <v>2110000</v>
      </c>
      <c r="J9" s="6">
        <f>SUBTOTAL(9,J2:J8)</f>
        <v>50000</v>
      </c>
      <c r="K9" s="6">
        <f>SUBTOTAL(9,K2:K8)</f>
        <v>2110000</v>
      </c>
      <c r="L9" s="26">
        <f>K9/G9</f>
        <v>0.97685185185185186</v>
      </c>
      <c r="M9" s="12"/>
      <c r="N9" s="3"/>
    </row>
    <row r="10" spans="1:14" outlineLevel="2">
      <c r="A10" s="16" t="s">
        <v>9</v>
      </c>
      <c r="B10" s="16" t="s">
        <v>10</v>
      </c>
      <c r="C10" s="16" t="s">
        <v>17</v>
      </c>
      <c r="D10" s="16" t="s">
        <v>117</v>
      </c>
      <c r="E10" s="16" t="s">
        <v>117</v>
      </c>
      <c r="F10" s="16" t="s">
        <v>15</v>
      </c>
      <c r="G10" s="13">
        <v>420000</v>
      </c>
      <c r="H10" s="13">
        <v>0</v>
      </c>
      <c r="I10" s="13">
        <f t="shared" ref="I10:I11" si="2">G10-H10</f>
        <v>420000</v>
      </c>
      <c r="J10" s="13">
        <v>0</v>
      </c>
      <c r="K10" s="13">
        <f t="shared" si="1"/>
        <v>420000</v>
      </c>
      <c r="L10" s="25"/>
      <c r="M10" s="15">
        <v>0</v>
      </c>
      <c r="N10" s="16" t="s">
        <v>2189</v>
      </c>
    </row>
    <row r="11" spans="1:14" outlineLevel="2">
      <c r="A11" s="16" t="s">
        <v>9</v>
      </c>
      <c r="B11" s="16" t="s">
        <v>10</v>
      </c>
      <c r="C11" s="16" t="s">
        <v>17</v>
      </c>
      <c r="D11" s="16" t="s">
        <v>118</v>
      </c>
      <c r="E11" s="16" t="s">
        <v>2200</v>
      </c>
      <c r="F11" s="16" t="s">
        <v>15</v>
      </c>
      <c r="G11" s="13">
        <v>970000</v>
      </c>
      <c r="H11" s="13">
        <v>0</v>
      </c>
      <c r="I11" s="13">
        <f t="shared" si="2"/>
        <v>970000</v>
      </c>
      <c r="J11" s="13">
        <v>0</v>
      </c>
      <c r="K11" s="13">
        <f t="shared" si="1"/>
        <v>970000</v>
      </c>
      <c r="L11" s="25"/>
      <c r="M11" s="15">
        <v>0</v>
      </c>
      <c r="N11" s="16" t="s">
        <v>2189</v>
      </c>
    </row>
    <row r="12" spans="1:14" outlineLevel="1">
      <c r="A12" s="3"/>
      <c r="B12" s="3"/>
      <c r="C12" s="4" t="s">
        <v>20</v>
      </c>
      <c r="D12" s="3"/>
      <c r="E12" s="3"/>
      <c r="F12" s="3"/>
      <c r="G12" s="6">
        <f>SUBTOTAL(9,G10:G11)</f>
        <v>1390000</v>
      </c>
      <c r="H12" s="6">
        <f>SUBTOTAL(9,H10:H11)</f>
        <v>0</v>
      </c>
      <c r="I12" s="6">
        <f>SUBTOTAL(9,I10:I11)</f>
        <v>1390000</v>
      </c>
      <c r="J12" s="6">
        <f>SUBTOTAL(9,J10:J11)</f>
        <v>0</v>
      </c>
      <c r="K12" s="6">
        <f>SUBTOTAL(9,K10:K11)</f>
        <v>1390000</v>
      </c>
      <c r="L12" s="26">
        <f>K12/G12</f>
        <v>1</v>
      </c>
      <c r="M12" s="12"/>
      <c r="N12" s="3"/>
    </row>
    <row r="13" spans="1:14" outlineLevel="2">
      <c r="A13" s="16" t="s">
        <v>9</v>
      </c>
      <c r="B13" s="16" t="s">
        <v>21</v>
      </c>
      <c r="C13" s="16" t="s">
        <v>22</v>
      </c>
      <c r="D13" s="16" t="s">
        <v>23</v>
      </c>
      <c r="E13" s="16" t="s">
        <v>2201</v>
      </c>
      <c r="F13" s="16" t="s">
        <v>122</v>
      </c>
      <c r="G13" s="13">
        <v>155000</v>
      </c>
      <c r="H13" s="13">
        <v>155000</v>
      </c>
      <c r="I13" s="13">
        <f t="shared" ref="I13:I16" si="3">G13-H13</f>
        <v>0</v>
      </c>
      <c r="J13" s="13">
        <v>155000</v>
      </c>
      <c r="K13" s="13">
        <f t="shared" si="1"/>
        <v>0</v>
      </c>
      <c r="L13" s="25"/>
      <c r="M13" s="23">
        <v>7395000</v>
      </c>
      <c r="N13" s="24" t="s">
        <v>2202</v>
      </c>
    </row>
    <row r="14" spans="1:14" outlineLevel="2">
      <c r="A14" s="16" t="s">
        <v>9</v>
      </c>
      <c r="B14" s="16" t="s">
        <v>21</v>
      </c>
      <c r="C14" s="16" t="s">
        <v>22</v>
      </c>
      <c r="D14" s="16" t="s">
        <v>23</v>
      </c>
      <c r="E14" s="16" t="s">
        <v>2203</v>
      </c>
      <c r="F14" s="16" t="s">
        <v>24</v>
      </c>
      <c r="G14" s="13">
        <v>7240000</v>
      </c>
      <c r="H14" s="13">
        <v>3712070</v>
      </c>
      <c r="I14" s="13">
        <f t="shared" si="3"/>
        <v>3527930</v>
      </c>
      <c r="J14" s="13">
        <v>3712070</v>
      </c>
      <c r="K14" s="13">
        <f t="shared" si="1"/>
        <v>3527930</v>
      </c>
      <c r="L14" s="25"/>
      <c r="M14" s="23">
        <v>7395000</v>
      </c>
      <c r="N14" s="24" t="s">
        <v>2202</v>
      </c>
    </row>
    <row r="15" spans="1:14" outlineLevel="2">
      <c r="A15" s="16" t="s">
        <v>9</v>
      </c>
      <c r="B15" s="16" t="s">
        <v>21</v>
      </c>
      <c r="C15" s="16" t="s">
        <v>22</v>
      </c>
      <c r="D15" s="16" t="s">
        <v>2204</v>
      </c>
      <c r="E15" s="16" t="s">
        <v>119</v>
      </c>
      <c r="F15" s="16" t="s">
        <v>120</v>
      </c>
      <c r="G15" s="13">
        <v>12621000</v>
      </c>
      <c r="H15" s="13">
        <v>11705010</v>
      </c>
      <c r="I15" s="13">
        <f t="shared" si="3"/>
        <v>915990</v>
      </c>
      <c r="J15" s="13">
        <v>11705010</v>
      </c>
      <c r="K15" s="13">
        <f t="shared" si="1"/>
        <v>915990</v>
      </c>
      <c r="L15" s="25"/>
      <c r="M15" s="23">
        <v>12621000</v>
      </c>
      <c r="N15" s="24" t="s">
        <v>2205</v>
      </c>
    </row>
    <row r="16" spans="1:14" outlineLevel="2">
      <c r="A16" s="16" t="s">
        <v>9</v>
      </c>
      <c r="B16" s="16" t="s">
        <v>21</v>
      </c>
      <c r="C16" s="16" t="s">
        <v>22</v>
      </c>
      <c r="D16" s="16" t="s">
        <v>2204</v>
      </c>
      <c r="E16" s="16" t="s">
        <v>2206</v>
      </c>
      <c r="F16" s="16" t="s">
        <v>151</v>
      </c>
      <c r="G16" s="13">
        <v>500000</v>
      </c>
      <c r="H16" s="13">
        <v>0</v>
      </c>
      <c r="I16" s="13">
        <f t="shared" si="3"/>
        <v>500000</v>
      </c>
      <c r="J16" s="13">
        <v>0</v>
      </c>
      <c r="K16" s="13">
        <f t="shared" si="1"/>
        <v>500000</v>
      </c>
      <c r="L16" s="25"/>
      <c r="M16" s="23">
        <v>12621000</v>
      </c>
      <c r="N16" s="24" t="s">
        <v>2205</v>
      </c>
    </row>
    <row r="17" spans="1:14" outlineLevel="1">
      <c r="A17" s="3"/>
      <c r="B17" s="3"/>
      <c r="C17" s="4" t="s">
        <v>26</v>
      </c>
      <c r="D17" s="3"/>
      <c r="E17" s="3"/>
      <c r="F17" s="3"/>
      <c r="G17" s="6">
        <f>SUBTOTAL(9,G13:G16)</f>
        <v>20516000</v>
      </c>
      <c r="H17" s="6">
        <f>SUBTOTAL(9,H13:H16)</f>
        <v>15572080</v>
      </c>
      <c r="I17" s="6">
        <f>SUBTOTAL(9,I13:I16)</f>
        <v>4943920</v>
      </c>
      <c r="J17" s="6">
        <f>SUBTOTAL(9,J13:J16)</f>
        <v>15572080</v>
      </c>
      <c r="K17" s="6">
        <f>SUBTOTAL(9,K13:K16)</f>
        <v>4943920</v>
      </c>
      <c r="L17" s="26">
        <f>K17/G17</f>
        <v>0.24097874829401442</v>
      </c>
      <c r="M17" s="12"/>
      <c r="N17" s="3"/>
    </row>
    <row r="18" spans="1:14" outlineLevel="2">
      <c r="A18" s="16" t="s">
        <v>27</v>
      </c>
      <c r="B18" s="16" t="s">
        <v>33</v>
      </c>
      <c r="C18" s="16" t="s">
        <v>2207</v>
      </c>
      <c r="D18" s="16" t="s">
        <v>2208</v>
      </c>
      <c r="E18" s="16" t="s">
        <v>2209</v>
      </c>
      <c r="F18" s="16" t="s">
        <v>34</v>
      </c>
      <c r="G18" s="13">
        <v>200000</v>
      </c>
      <c r="H18" s="13">
        <v>0</v>
      </c>
      <c r="I18" s="13">
        <f t="shared" ref="I18:I20" si="4">G18-H18</f>
        <v>200000</v>
      </c>
      <c r="J18" s="13">
        <v>0</v>
      </c>
      <c r="K18" s="13">
        <f t="shared" si="1"/>
        <v>200000</v>
      </c>
      <c r="L18" s="25"/>
      <c r="M18" s="15">
        <v>0</v>
      </c>
      <c r="N18" s="16" t="s">
        <v>2210</v>
      </c>
    </row>
    <row r="19" spans="1:14" outlineLevel="2">
      <c r="A19" s="16" t="s">
        <v>27</v>
      </c>
      <c r="B19" s="16" t="s">
        <v>33</v>
      </c>
      <c r="C19" s="16" t="s">
        <v>2207</v>
      </c>
      <c r="D19" s="16" t="s">
        <v>36</v>
      </c>
      <c r="E19" s="16" t="s">
        <v>134</v>
      </c>
      <c r="F19" s="16" t="s">
        <v>12</v>
      </c>
      <c r="G19" s="13">
        <v>50000</v>
      </c>
      <c r="H19" s="13">
        <v>50000</v>
      </c>
      <c r="I19" s="13">
        <f t="shared" si="4"/>
        <v>0</v>
      </c>
      <c r="J19" s="13">
        <v>0</v>
      </c>
      <c r="K19" s="13">
        <f t="shared" si="1"/>
        <v>50000</v>
      </c>
      <c r="L19" s="25"/>
      <c r="M19" s="23">
        <v>0</v>
      </c>
      <c r="N19" s="24" t="s">
        <v>2211</v>
      </c>
    </row>
    <row r="20" spans="1:14" outlineLevel="2">
      <c r="A20" s="16" t="s">
        <v>27</v>
      </c>
      <c r="B20" s="16" t="s">
        <v>33</v>
      </c>
      <c r="C20" s="16" t="s">
        <v>2207</v>
      </c>
      <c r="D20" s="16" t="s">
        <v>36</v>
      </c>
      <c r="E20" s="16" t="s">
        <v>2212</v>
      </c>
      <c r="F20" s="16" t="s">
        <v>34</v>
      </c>
      <c r="G20" s="13">
        <v>1000000</v>
      </c>
      <c r="H20" s="13">
        <v>0</v>
      </c>
      <c r="I20" s="13">
        <f t="shared" si="4"/>
        <v>1000000</v>
      </c>
      <c r="J20" s="13">
        <v>0</v>
      </c>
      <c r="K20" s="13">
        <f t="shared" si="1"/>
        <v>1000000</v>
      </c>
      <c r="L20" s="25"/>
      <c r="M20" s="23">
        <v>0</v>
      </c>
      <c r="N20" s="24" t="s">
        <v>2211</v>
      </c>
    </row>
    <row r="21" spans="1:14" outlineLevel="1">
      <c r="A21" s="3"/>
      <c r="B21" s="3"/>
      <c r="C21" s="4" t="s">
        <v>2312</v>
      </c>
      <c r="D21" s="3"/>
      <c r="E21" s="3"/>
      <c r="F21" s="3"/>
      <c r="G21" s="6">
        <f>SUBTOTAL(9,G18:G20)</f>
        <v>1250000</v>
      </c>
      <c r="H21" s="6">
        <f>SUBTOTAL(9,H18:H20)</f>
        <v>50000</v>
      </c>
      <c r="I21" s="6">
        <f>SUBTOTAL(9,I18:I20)</f>
        <v>1200000</v>
      </c>
      <c r="J21" s="6">
        <f>SUBTOTAL(9,J18:J20)</f>
        <v>0</v>
      </c>
      <c r="K21" s="6">
        <f>SUBTOTAL(9,K18:K20)</f>
        <v>1250000</v>
      </c>
      <c r="L21" s="26">
        <f>K21/G21</f>
        <v>1</v>
      </c>
      <c r="M21" s="12"/>
      <c r="N21" s="3"/>
    </row>
    <row r="22" spans="1:14" outlineLevel="2">
      <c r="A22" s="16" t="s">
        <v>27</v>
      </c>
      <c r="B22" s="16" t="s">
        <v>33</v>
      </c>
      <c r="C22" s="16" t="s">
        <v>38</v>
      </c>
      <c r="D22" s="16" t="s">
        <v>39</v>
      </c>
      <c r="E22" s="16" t="s">
        <v>2213</v>
      </c>
      <c r="F22" s="16" t="s">
        <v>15</v>
      </c>
      <c r="G22" s="13">
        <v>1470000</v>
      </c>
      <c r="H22" s="13">
        <v>349800</v>
      </c>
      <c r="I22" s="13">
        <f t="shared" ref="I22:I25" si="5">G22-H22</f>
        <v>1120200</v>
      </c>
      <c r="J22" s="13">
        <v>349800</v>
      </c>
      <c r="K22" s="13">
        <f t="shared" ref="K22:K41" si="6">G22-J22</f>
        <v>1120200</v>
      </c>
      <c r="L22" s="25"/>
      <c r="M22" s="23">
        <v>0</v>
      </c>
      <c r="N22" s="24" t="s">
        <v>2214</v>
      </c>
    </row>
    <row r="23" spans="1:14" outlineLevel="2">
      <c r="A23" s="16" t="s">
        <v>27</v>
      </c>
      <c r="B23" s="16" t="s">
        <v>33</v>
      </c>
      <c r="C23" s="16" t="s">
        <v>38</v>
      </c>
      <c r="D23" s="16" t="s">
        <v>39</v>
      </c>
      <c r="E23" s="16" t="s">
        <v>2215</v>
      </c>
      <c r="F23" s="16" t="s">
        <v>15</v>
      </c>
      <c r="G23" s="13">
        <v>300000</v>
      </c>
      <c r="H23" s="13">
        <v>0</v>
      </c>
      <c r="I23" s="13">
        <f t="shared" si="5"/>
        <v>300000</v>
      </c>
      <c r="J23" s="13">
        <v>0</v>
      </c>
      <c r="K23" s="13">
        <f t="shared" si="6"/>
        <v>300000</v>
      </c>
      <c r="L23" s="25"/>
      <c r="M23" s="23">
        <v>0</v>
      </c>
      <c r="N23" s="24" t="s">
        <v>2214</v>
      </c>
    </row>
    <row r="24" spans="1:14" outlineLevel="2">
      <c r="A24" s="16" t="s">
        <v>27</v>
      </c>
      <c r="B24" s="16" t="s">
        <v>33</v>
      </c>
      <c r="C24" s="16" t="s">
        <v>38</v>
      </c>
      <c r="D24" s="16" t="s">
        <v>40</v>
      </c>
      <c r="E24" s="16" t="s">
        <v>2216</v>
      </c>
      <c r="F24" s="16" t="s">
        <v>15</v>
      </c>
      <c r="G24" s="13">
        <v>2400000</v>
      </c>
      <c r="H24" s="13">
        <v>2520000</v>
      </c>
      <c r="I24" s="13">
        <f t="shared" si="5"/>
        <v>-120000</v>
      </c>
      <c r="J24" s="13">
        <v>420000</v>
      </c>
      <c r="K24" s="13">
        <f t="shared" si="6"/>
        <v>1980000</v>
      </c>
      <c r="L24" s="25"/>
      <c r="M24" s="15">
        <v>0</v>
      </c>
      <c r="N24" s="16" t="s">
        <v>2217</v>
      </c>
    </row>
    <row r="25" spans="1:14" outlineLevel="2">
      <c r="A25" s="16" t="s">
        <v>27</v>
      </c>
      <c r="B25" s="16" t="s">
        <v>33</v>
      </c>
      <c r="C25" s="16" t="s">
        <v>38</v>
      </c>
      <c r="D25" s="16" t="s">
        <v>138</v>
      </c>
      <c r="E25" s="16" t="s">
        <v>2218</v>
      </c>
      <c r="F25" s="16" t="s">
        <v>15</v>
      </c>
      <c r="G25" s="13">
        <v>5000000</v>
      </c>
      <c r="H25" s="13">
        <v>0</v>
      </c>
      <c r="I25" s="13">
        <f t="shared" si="5"/>
        <v>5000000</v>
      </c>
      <c r="J25" s="13">
        <v>0</v>
      </c>
      <c r="K25" s="13">
        <f t="shared" si="6"/>
        <v>5000000</v>
      </c>
      <c r="L25" s="25"/>
      <c r="M25" s="15">
        <v>0</v>
      </c>
      <c r="N25" s="16" t="s">
        <v>2219</v>
      </c>
    </row>
    <row r="26" spans="1:14" outlineLevel="1">
      <c r="A26" s="3"/>
      <c r="B26" s="3"/>
      <c r="C26" s="4" t="s">
        <v>41</v>
      </c>
      <c r="D26" s="3"/>
      <c r="E26" s="3"/>
      <c r="F26" s="3"/>
      <c r="G26" s="6">
        <f>SUBTOTAL(9,G22:G25)</f>
        <v>9170000</v>
      </c>
      <c r="H26" s="6">
        <f>SUBTOTAL(9,H22:H25)</f>
        <v>2869800</v>
      </c>
      <c r="I26" s="6">
        <f>SUBTOTAL(9,I22:I25)</f>
        <v>6300200</v>
      </c>
      <c r="J26" s="6">
        <f>SUBTOTAL(9,J22:J25)</f>
        <v>769800</v>
      </c>
      <c r="K26" s="6">
        <f>SUBTOTAL(9,K22:K25)</f>
        <v>8400200</v>
      </c>
      <c r="L26" s="26">
        <f>K26/G26</f>
        <v>0.91605234460196294</v>
      </c>
      <c r="M26" s="12"/>
      <c r="N26" s="3"/>
    </row>
    <row r="27" spans="1:14" outlineLevel="2">
      <c r="A27" s="16" t="s">
        <v>27</v>
      </c>
      <c r="B27" s="16" t="s">
        <v>2220</v>
      </c>
      <c r="C27" s="16" t="s">
        <v>2221</v>
      </c>
      <c r="D27" s="16" t="s">
        <v>2222</v>
      </c>
      <c r="E27" s="16" t="s">
        <v>2223</v>
      </c>
      <c r="F27" s="16" t="s">
        <v>120</v>
      </c>
      <c r="G27" s="13">
        <v>4420000</v>
      </c>
      <c r="H27" s="13">
        <v>1893210</v>
      </c>
      <c r="I27" s="13">
        <f t="shared" ref="I27:I30" si="7">G27-H27</f>
        <v>2526790</v>
      </c>
      <c r="J27" s="13">
        <v>1893210</v>
      </c>
      <c r="K27" s="13">
        <f t="shared" si="6"/>
        <v>2526790</v>
      </c>
      <c r="L27" s="25"/>
      <c r="M27" s="23">
        <v>0</v>
      </c>
      <c r="N27" s="24" t="s">
        <v>2224</v>
      </c>
    </row>
    <row r="28" spans="1:14" outlineLevel="2">
      <c r="A28" s="16" t="s">
        <v>27</v>
      </c>
      <c r="B28" s="16" t="s">
        <v>2220</v>
      </c>
      <c r="C28" s="16" t="s">
        <v>2221</v>
      </c>
      <c r="D28" s="16" t="s">
        <v>2222</v>
      </c>
      <c r="E28" s="16" t="s">
        <v>2225</v>
      </c>
      <c r="F28" s="16" t="s">
        <v>25</v>
      </c>
      <c r="G28" s="13">
        <v>520000</v>
      </c>
      <c r="H28" s="13">
        <v>0</v>
      </c>
      <c r="I28" s="13">
        <f t="shared" si="7"/>
        <v>520000</v>
      </c>
      <c r="J28" s="13">
        <v>0</v>
      </c>
      <c r="K28" s="13">
        <f t="shared" si="6"/>
        <v>520000</v>
      </c>
      <c r="L28" s="25"/>
      <c r="M28" s="23">
        <v>0</v>
      </c>
      <c r="N28" s="24" t="s">
        <v>2224</v>
      </c>
    </row>
    <row r="29" spans="1:14" outlineLevel="2">
      <c r="A29" s="16" t="s">
        <v>27</v>
      </c>
      <c r="B29" s="16" t="s">
        <v>2220</v>
      </c>
      <c r="C29" s="16" t="s">
        <v>2221</v>
      </c>
      <c r="D29" s="16" t="s">
        <v>2222</v>
      </c>
      <c r="E29" s="16" t="s">
        <v>2226</v>
      </c>
      <c r="F29" s="16" t="s">
        <v>13</v>
      </c>
      <c r="G29" s="13">
        <v>4000000</v>
      </c>
      <c r="H29" s="13">
        <v>738070</v>
      </c>
      <c r="I29" s="13">
        <f t="shared" si="7"/>
        <v>3261930</v>
      </c>
      <c r="J29" s="13">
        <v>346800</v>
      </c>
      <c r="K29" s="13">
        <f t="shared" si="6"/>
        <v>3653200</v>
      </c>
      <c r="L29" s="25"/>
      <c r="M29" s="23">
        <v>0</v>
      </c>
      <c r="N29" s="24" t="s">
        <v>2224</v>
      </c>
    </row>
    <row r="30" spans="1:14" outlineLevel="2">
      <c r="A30" s="16" t="s">
        <v>27</v>
      </c>
      <c r="B30" s="16" t="s">
        <v>2220</v>
      </c>
      <c r="C30" s="16" t="s">
        <v>2221</v>
      </c>
      <c r="D30" s="16" t="s">
        <v>2222</v>
      </c>
      <c r="E30" s="16" t="s">
        <v>2227</v>
      </c>
      <c r="F30" s="16" t="s">
        <v>13</v>
      </c>
      <c r="G30" s="13">
        <v>500000</v>
      </c>
      <c r="H30" s="13">
        <v>0</v>
      </c>
      <c r="I30" s="13">
        <f t="shared" si="7"/>
        <v>500000</v>
      </c>
      <c r="J30" s="13">
        <v>0</v>
      </c>
      <c r="K30" s="13">
        <f t="shared" si="6"/>
        <v>500000</v>
      </c>
      <c r="L30" s="25"/>
      <c r="M30" s="23">
        <v>0</v>
      </c>
      <c r="N30" s="24" t="s">
        <v>2224</v>
      </c>
    </row>
    <row r="31" spans="1:14" outlineLevel="1">
      <c r="A31" s="3"/>
      <c r="B31" s="3"/>
      <c r="C31" s="4" t="s">
        <v>2313</v>
      </c>
      <c r="D31" s="3"/>
      <c r="E31" s="3"/>
      <c r="F31" s="3"/>
      <c r="G31" s="6">
        <f>SUBTOTAL(9,G27:G30)</f>
        <v>9440000</v>
      </c>
      <c r="H31" s="6">
        <f>SUBTOTAL(9,H27:H30)</f>
        <v>2631280</v>
      </c>
      <c r="I31" s="6">
        <f>SUBTOTAL(9,I27:I30)</f>
        <v>6808720</v>
      </c>
      <c r="J31" s="6">
        <f>SUBTOTAL(9,J27:J30)</f>
        <v>2240010</v>
      </c>
      <c r="K31" s="6">
        <f>SUBTOTAL(9,K27:K30)</f>
        <v>7199990</v>
      </c>
      <c r="L31" s="26">
        <f>K31/G31</f>
        <v>0.76271080508474576</v>
      </c>
      <c r="M31" s="12"/>
      <c r="N31" s="3"/>
    </row>
    <row r="32" spans="1:14" outlineLevel="2">
      <c r="A32" s="16" t="s">
        <v>27</v>
      </c>
      <c r="B32" s="16" t="s">
        <v>42</v>
      </c>
      <c r="C32" s="16" t="s">
        <v>45</v>
      </c>
      <c r="D32" s="16" t="s">
        <v>2228</v>
      </c>
      <c r="E32" s="16" t="s">
        <v>2229</v>
      </c>
      <c r="F32" s="16" t="s">
        <v>34</v>
      </c>
      <c r="G32" s="13">
        <v>896000</v>
      </c>
      <c r="H32" s="13">
        <v>0</v>
      </c>
      <c r="I32" s="13">
        <f t="shared" ref="I32" si="8">G32-H32</f>
        <v>896000</v>
      </c>
      <c r="J32" s="13">
        <v>0</v>
      </c>
      <c r="K32" s="13">
        <f t="shared" si="6"/>
        <v>896000</v>
      </c>
      <c r="L32" s="25"/>
      <c r="M32" s="15">
        <v>896000</v>
      </c>
      <c r="N32" s="16" t="s">
        <v>2210</v>
      </c>
    </row>
    <row r="33" spans="1:14" outlineLevel="1">
      <c r="A33" s="3"/>
      <c r="B33" s="3"/>
      <c r="C33" s="4" t="s">
        <v>46</v>
      </c>
      <c r="D33" s="3"/>
      <c r="E33" s="3"/>
      <c r="F33" s="3"/>
      <c r="G33" s="6">
        <f>SUBTOTAL(9,G32:G32)</f>
        <v>896000</v>
      </c>
      <c r="H33" s="6">
        <f>SUBTOTAL(9,H32:H32)</f>
        <v>0</v>
      </c>
      <c r="I33" s="6">
        <f>SUBTOTAL(9,I32:I32)</f>
        <v>896000</v>
      </c>
      <c r="J33" s="6">
        <f>SUBTOTAL(9,J32:J32)</f>
        <v>0</v>
      </c>
      <c r="K33" s="6">
        <f>SUBTOTAL(9,K32:K32)</f>
        <v>896000</v>
      </c>
      <c r="L33" s="26">
        <f>K33/G33</f>
        <v>1</v>
      </c>
      <c r="M33" s="12"/>
      <c r="N33" s="3"/>
    </row>
    <row r="34" spans="1:14" outlineLevel="2">
      <c r="A34" s="16" t="s">
        <v>47</v>
      </c>
      <c r="B34" s="16" t="s">
        <v>48</v>
      </c>
      <c r="C34" s="16" t="s">
        <v>144</v>
      </c>
      <c r="D34" s="16" t="s">
        <v>51</v>
      </c>
      <c r="E34" s="16" t="s">
        <v>145</v>
      </c>
      <c r="F34" s="16" t="s">
        <v>2230</v>
      </c>
      <c r="G34" s="13">
        <v>512000</v>
      </c>
      <c r="H34" s="13">
        <v>0</v>
      </c>
      <c r="I34" s="13">
        <f t="shared" ref="I34" si="9">G34-H34</f>
        <v>512000</v>
      </c>
      <c r="J34" s="13">
        <v>0</v>
      </c>
      <c r="K34" s="13">
        <f t="shared" si="6"/>
        <v>512000</v>
      </c>
      <c r="L34" s="25"/>
      <c r="M34" s="15">
        <v>0</v>
      </c>
      <c r="N34" s="16" t="s">
        <v>2231</v>
      </c>
    </row>
    <row r="35" spans="1:14" outlineLevel="1">
      <c r="A35" s="3"/>
      <c r="B35" s="3"/>
      <c r="C35" s="4" t="s">
        <v>216</v>
      </c>
      <c r="D35" s="3"/>
      <c r="E35" s="3"/>
      <c r="F35" s="3"/>
      <c r="G35" s="6">
        <f>SUBTOTAL(9,G34:G34)</f>
        <v>512000</v>
      </c>
      <c r="H35" s="6">
        <f>SUBTOTAL(9,H34:H34)</f>
        <v>0</v>
      </c>
      <c r="I35" s="6">
        <f>SUBTOTAL(9,I34:I34)</f>
        <v>512000</v>
      </c>
      <c r="J35" s="6">
        <f>SUBTOTAL(9,J34:J34)</f>
        <v>0</v>
      </c>
      <c r="K35" s="6">
        <f>SUBTOTAL(9,K34:K34)</f>
        <v>512000</v>
      </c>
      <c r="L35" s="26">
        <f>K35/G35</f>
        <v>1</v>
      </c>
      <c r="M35" s="12"/>
      <c r="N35" s="3"/>
    </row>
    <row r="36" spans="1:14" outlineLevel="2">
      <c r="A36" s="16" t="s">
        <v>47</v>
      </c>
      <c r="B36" s="16" t="s">
        <v>48</v>
      </c>
      <c r="C36" s="16" t="s">
        <v>55</v>
      </c>
      <c r="D36" s="16" t="s">
        <v>53</v>
      </c>
      <c r="E36" s="16" t="s">
        <v>2232</v>
      </c>
      <c r="F36" s="16" t="s">
        <v>13</v>
      </c>
      <c r="G36" s="13">
        <v>3000000</v>
      </c>
      <c r="H36" s="13">
        <v>1531350</v>
      </c>
      <c r="I36" s="13">
        <f t="shared" ref="I36:I37" si="10">G36-H36</f>
        <v>1468650</v>
      </c>
      <c r="J36" s="13">
        <v>1531350</v>
      </c>
      <c r="K36" s="13">
        <f t="shared" si="6"/>
        <v>1468650</v>
      </c>
      <c r="L36" s="25"/>
      <c r="M36" s="23">
        <v>0</v>
      </c>
      <c r="N36" s="24" t="s">
        <v>2233</v>
      </c>
    </row>
    <row r="37" spans="1:14" outlineLevel="2">
      <c r="A37" s="16" t="s">
        <v>47</v>
      </c>
      <c r="B37" s="16" t="s">
        <v>48</v>
      </c>
      <c r="C37" s="16" t="s">
        <v>55</v>
      </c>
      <c r="D37" s="16" t="s">
        <v>53</v>
      </c>
      <c r="E37" s="16" t="s">
        <v>2234</v>
      </c>
      <c r="F37" s="16" t="s">
        <v>13</v>
      </c>
      <c r="G37" s="13">
        <v>3500000</v>
      </c>
      <c r="H37" s="13">
        <v>471700</v>
      </c>
      <c r="I37" s="13">
        <f t="shared" si="10"/>
        <v>3028300</v>
      </c>
      <c r="J37" s="13">
        <v>271100</v>
      </c>
      <c r="K37" s="13">
        <f t="shared" si="6"/>
        <v>3228900</v>
      </c>
      <c r="L37" s="25"/>
      <c r="M37" s="23">
        <v>0</v>
      </c>
      <c r="N37" s="24" t="s">
        <v>2233</v>
      </c>
    </row>
    <row r="38" spans="1:14" outlineLevel="1">
      <c r="A38" s="3"/>
      <c r="B38" s="3"/>
      <c r="C38" s="4" t="s">
        <v>56</v>
      </c>
      <c r="D38" s="3"/>
      <c r="E38" s="3"/>
      <c r="F38" s="3"/>
      <c r="G38" s="6">
        <f>SUBTOTAL(9,G36:G37)</f>
        <v>6500000</v>
      </c>
      <c r="H38" s="6">
        <f>SUBTOTAL(9,H36:H37)</f>
        <v>2003050</v>
      </c>
      <c r="I38" s="6">
        <f>SUBTOTAL(9,I36:I37)</f>
        <v>4496950</v>
      </c>
      <c r="J38" s="6">
        <f>SUBTOTAL(9,J36:J37)</f>
        <v>1802450</v>
      </c>
      <c r="K38" s="6">
        <f>SUBTOTAL(9,K36:K37)</f>
        <v>4697550</v>
      </c>
      <c r="L38" s="26">
        <f>K38/G38</f>
        <v>0.72270000000000001</v>
      </c>
      <c r="M38" s="12"/>
      <c r="N38" s="3"/>
    </row>
    <row r="39" spans="1:14" outlineLevel="2">
      <c r="A39" s="16" t="s">
        <v>47</v>
      </c>
      <c r="B39" s="16" t="s">
        <v>48</v>
      </c>
      <c r="C39" s="16" t="s">
        <v>2235</v>
      </c>
      <c r="D39" s="16" t="s">
        <v>53</v>
      </c>
      <c r="E39" s="16" t="s">
        <v>2236</v>
      </c>
      <c r="F39" s="16" t="s">
        <v>15</v>
      </c>
      <c r="G39" s="13">
        <v>750000</v>
      </c>
      <c r="H39" s="13">
        <v>64500</v>
      </c>
      <c r="I39" s="13">
        <f t="shared" ref="I39:I56" si="11">G39-H39</f>
        <v>685500</v>
      </c>
      <c r="J39" s="13">
        <v>31500</v>
      </c>
      <c r="K39" s="13">
        <f t="shared" si="6"/>
        <v>718500</v>
      </c>
      <c r="L39" s="25"/>
      <c r="M39" s="23">
        <v>0</v>
      </c>
      <c r="N39" s="24" t="s">
        <v>2237</v>
      </c>
    </row>
    <row r="40" spans="1:14" outlineLevel="2">
      <c r="A40" s="16" t="s">
        <v>47</v>
      </c>
      <c r="B40" s="16" t="s">
        <v>48</v>
      </c>
      <c r="C40" s="16" t="s">
        <v>2235</v>
      </c>
      <c r="D40" s="16" t="s">
        <v>53</v>
      </c>
      <c r="E40" s="16" t="s">
        <v>2238</v>
      </c>
      <c r="F40" s="16" t="s">
        <v>15</v>
      </c>
      <c r="G40" s="13">
        <v>4903000</v>
      </c>
      <c r="H40" s="13">
        <v>695900</v>
      </c>
      <c r="I40" s="13">
        <f t="shared" si="11"/>
        <v>4207100</v>
      </c>
      <c r="J40" s="13">
        <v>695900</v>
      </c>
      <c r="K40" s="13">
        <f t="shared" si="6"/>
        <v>4207100</v>
      </c>
      <c r="L40" s="25"/>
      <c r="M40" s="23">
        <v>0</v>
      </c>
      <c r="N40" s="24" t="s">
        <v>2237</v>
      </c>
    </row>
    <row r="41" spans="1:14" outlineLevel="2">
      <c r="A41" s="16" t="s">
        <v>47</v>
      </c>
      <c r="B41" s="16" t="s">
        <v>48</v>
      </c>
      <c r="C41" s="16" t="s">
        <v>2235</v>
      </c>
      <c r="D41" s="16" t="s">
        <v>53</v>
      </c>
      <c r="E41" s="16" t="s">
        <v>2239</v>
      </c>
      <c r="F41" s="16" t="s">
        <v>13</v>
      </c>
      <c r="G41" s="13">
        <v>9300000</v>
      </c>
      <c r="H41" s="13">
        <v>811140</v>
      </c>
      <c r="I41" s="13">
        <f t="shared" si="11"/>
        <v>8488860</v>
      </c>
      <c r="J41" s="13">
        <v>811140</v>
      </c>
      <c r="K41" s="13">
        <f t="shared" si="6"/>
        <v>8488860</v>
      </c>
      <c r="L41" s="25"/>
      <c r="M41" s="23">
        <v>0</v>
      </c>
      <c r="N41" s="24" t="s">
        <v>2237</v>
      </c>
    </row>
    <row r="42" spans="1:14" outlineLevel="2">
      <c r="A42" s="16" t="s">
        <v>47</v>
      </c>
      <c r="B42" s="16" t="s">
        <v>48</v>
      </c>
      <c r="C42" s="16" t="s">
        <v>2235</v>
      </c>
      <c r="D42" s="16" t="s">
        <v>53</v>
      </c>
      <c r="E42" s="16" t="s">
        <v>2240</v>
      </c>
      <c r="F42" s="16" t="s">
        <v>66</v>
      </c>
      <c r="G42" s="13">
        <v>3896000</v>
      </c>
      <c r="H42" s="13">
        <v>758700</v>
      </c>
      <c r="I42" s="13">
        <f t="shared" si="11"/>
        <v>3137300</v>
      </c>
      <c r="J42" s="13">
        <v>758700</v>
      </c>
      <c r="K42" s="13">
        <f t="shared" ref="K42:K62" si="12">G42-J42</f>
        <v>3137300</v>
      </c>
      <c r="L42" s="25"/>
      <c r="M42" s="23">
        <v>0</v>
      </c>
      <c r="N42" s="24" t="s">
        <v>2237</v>
      </c>
    </row>
    <row r="43" spans="1:14" outlineLevel="2">
      <c r="A43" s="16" t="s">
        <v>47</v>
      </c>
      <c r="B43" s="16" t="s">
        <v>48</v>
      </c>
      <c r="C43" s="16" t="s">
        <v>2235</v>
      </c>
      <c r="D43" s="16" t="s">
        <v>2241</v>
      </c>
      <c r="E43" s="16" t="s">
        <v>2242</v>
      </c>
      <c r="F43" s="16" t="s">
        <v>13</v>
      </c>
      <c r="G43" s="13">
        <v>900000</v>
      </c>
      <c r="H43" s="13">
        <v>0</v>
      </c>
      <c r="I43" s="13">
        <f t="shared" si="11"/>
        <v>900000</v>
      </c>
      <c r="J43" s="13">
        <v>0</v>
      </c>
      <c r="K43" s="13">
        <f t="shared" si="12"/>
        <v>900000</v>
      </c>
      <c r="L43" s="25"/>
      <c r="M43" s="23">
        <v>0</v>
      </c>
      <c r="N43" s="24" t="s">
        <v>2243</v>
      </c>
    </row>
    <row r="44" spans="1:14" outlineLevel="2">
      <c r="A44" s="16" t="s">
        <v>47</v>
      </c>
      <c r="B44" s="16" t="s">
        <v>48</v>
      </c>
      <c r="C44" s="16" t="s">
        <v>2235</v>
      </c>
      <c r="D44" s="16" t="s">
        <v>2241</v>
      </c>
      <c r="E44" s="16" t="s">
        <v>2244</v>
      </c>
      <c r="F44" s="16" t="s">
        <v>13</v>
      </c>
      <c r="G44" s="13">
        <v>100000</v>
      </c>
      <c r="H44" s="13">
        <v>0</v>
      </c>
      <c r="I44" s="13">
        <f t="shared" si="11"/>
        <v>100000</v>
      </c>
      <c r="J44" s="13">
        <v>0</v>
      </c>
      <c r="K44" s="13">
        <f t="shared" si="12"/>
        <v>100000</v>
      </c>
      <c r="L44" s="25"/>
      <c r="M44" s="23">
        <v>0</v>
      </c>
      <c r="N44" s="24" t="s">
        <v>2243</v>
      </c>
    </row>
    <row r="45" spans="1:14" outlineLevel="2">
      <c r="A45" s="16" t="s">
        <v>47</v>
      </c>
      <c r="B45" s="16" t="s">
        <v>48</v>
      </c>
      <c r="C45" s="16" t="s">
        <v>2235</v>
      </c>
      <c r="D45" s="16" t="s">
        <v>2241</v>
      </c>
      <c r="E45" s="16" t="s">
        <v>2245</v>
      </c>
      <c r="F45" s="16" t="s">
        <v>13</v>
      </c>
      <c r="G45" s="13">
        <v>11600000</v>
      </c>
      <c r="H45" s="13">
        <v>1074880</v>
      </c>
      <c r="I45" s="13">
        <f t="shared" si="11"/>
        <v>10525120</v>
      </c>
      <c r="J45" s="13">
        <v>644840</v>
      </c>
      <c r="K45" s="13">
        <f t="shared" si="12"/>
        <v>10955160</v>
      </c>
      <c r="L45" s="25"/>
      <c r="M45" s="23">
        <v>0</v>
      </c>
      <c r="N45" s="24" t="s">
        <v>2243</v>
      </c>
    </row>
    <row r="46" spans="1:14" outlineLevel="2">
      <c r="A46" s="16" t="s">
        <v>47</v>
      </c>
      <c r="B46" s="16" t="s">
        <v>48</v>
      </c>
      <c r="C46" s="16" t="s">
        <v>2235</v>
      </c>
      <c r="D46" s="16" t="s">
        <v>2246</v>
      </c>
      <c r="E46" s="16" t="s">
        <v>2247</v>
      </c>
      <c r="F46" s="16" t="s">
        <v>13</v>
      </c>
      <c r="G46" s="13">
        <v>1600000</v>
      </c>
      <c r="H46" s="13">
        <v>800000</v>
      </c>
      <c r="I46" s="13">
        <f t="shared" si="11"/>
        <v>800000</v>
      </c>
      <c r="J46" s="13">
        <v>0</v>
      </c>
      <c r="K46" s="13">
        <f t="shared" si="12"/>
        <v>1600000</v>
      </c>
      <c r="L46" s="25"/>
      <c r="M46" s="23">
        <v>2000000</v>
      </c>
      <c r="N46" s="24" t="s">
        <v>2248</v>
      </c>
    </row>
    <row r="47" spans="1:14" outlineLevel="2">
      <c r="A47" s="16" t="s">
        <v>47</v>
      </c>
      <c r="B47" s="16" t="s">
        <v>48</v>
      </c>
      <c r="C47" s="16" t="s">
        <v>2235</v>
      </c>
      <c r="D47" s="16" t="s">
        <v>2246</v>
      </c>
      <c r="E47" s="16" t="s">
        <v>2249</v>
      </c>
      <c r="F47" s="16" t="s">
        <v>13</v>
      </c>
      <c r="G47" s="13">
        <v>400000</v>
      </c>
      <c r="H47" s="13">
        <v>0</v>
      </c>
      <c r="I47" s="13">
        <f t="shared" si="11"/>
        <v>400000</v>
      </c>
      <c r="J47" s="13">
        <v>0</v>
      </c>
      <c r="K47" s="13">
        <f t="shared" si="12"/>
        <v>400000</v>
      </c>
      <c r="L47" s="25"/>
      <c r="M47" s="23">
        <v>2000000</v>
      </c>
      <c r="N47" s="24" t="s">
        <v>2248</v>
      </c>
    </row>
    <row r="48" spans="1:14" outlineLevel="2">
      <c r="A48" s="16" t="s">
        <v>47</v>
      </c>
      <c r="B48" s="16" t="s">
        <v>48</v>
      </c>
      <c r="C48" s="16" t="s">
        <v>2235</v>
      </c>
      <c r="D48" s="16" t="s">
        <v>2250</v>
      </c>
      <c r="E48" s="16" t="s">
        <v>2251</v>
      </c>
      <c r="F48" s="16" t="s">
        <v>120</v>
      </c>
      <c r="G48" s="13">
        <v>1512000</v>
      </c>
      <c r="H48" s="13">
        <v>1511910</v>
      </c>
      <c r="I48" s="13">
        <f t="shared" si="11"/>
        <v>90</v>
      </c>
      <c r="J48" s="13">
        <v>1511910</v>
      </c>
      <c r="K48" s="13">
        <f t="shared" si="12"/>
        <v>90</v>
      </c>
      <c r="L48" s="25"/>
      <c r="M48" s="23">
        <v>16854000</v>
      </c>
      <c r="N48" s="24" t="s">
        <v>2252</v>
      </c>
    </row>
    <row r="49" spans="1:14" outlineLevel="2">
      <c r="A49" s="16" t="s">
        <v>47</v>
      </c>
      <c r="B49" s="16" t="s">
        <v>48</v>
      </c>
      <c r="C49" s="16" t="s">
        <v>2235</v>
      </c>
      <c r="D49" s="16" t="s">
        <v>2250</v>
      </c>
      <c r="E49" s="16" t="s">
        <v>2253</v>
      </c>
      <c r="F49" s="16" t="s">
        <v>13</v>
      </c>
      <c r="G49" s="13">
        <v>7866000</v>
      </c>
      <c r="H49" s="13">
        <v>8497240</v>
      </c>
      <c r="I49" s="13">
        <f t="shared" si="11"/>
        <v>-631240</v>
      </c>
      <c r="J49" s="13">
        <v>4565800</v>
      </c>
      <c r="K49" s="13">
        <f t="shared" si="12"/>
        <v>3300200</v>
      </c>
      <c r="L49" s="25"/>
      <c r="M49" s="23">
        <v>16854000</v>
      </c>
      <c r="N49" s="24" t="s">
        <v>2252</v>
      </c>
    </row>
    <row r="50" spans="1:14" outlineLevel="2">
      <c r="A50" s="16" t="s">
        <v>47</v>
      </c>
      <c r="B50" s="16" t="s">
        <v>48</v>
      </c>
      <c r="C50" s="16" t="s">
        <v>2235</v>
      </c>
      <c r="D50" s="16" t="s">
        <v>2250</v>
      </c>
      <c r="E50" s="16" t="s">
        <v>2254</v>
      </c>
      <c r="F50" s="16" t="s">
        <v>13</v>
      </c>
      <c r="G50" s="13">
        <v>2422000</v>
      </c>
      <c r="H50" s="13">
        <v>2284000</v>
      </c>
      <c r="I50" s="13">
        <f t="shared" si="11"/>
        <v>138000</v>
      </c>
      <c r="J50" s="13">
        <v>1884000</v>
      </c>
      <c r="K50" s="13">
        <f t="shared" si="12"/>
        <v>538000</v>
      </c>
      <c r="L50" s="25"/>
      <c r="M50" s="23">
        <v>16854000</v>
      </c>
      <c r="N50" s="24" t="s">
        <v>2252</v>
      </c>
    </row>
    <row r="51" spans="1:14" outlineLevel="2">
      <c r="A51" s="16" t="s">
        <v>47</v>
      </c>
      <c r="B51" s="16" t="s">
        <v>48</v>
      </c>
      <c r="C51" s="16" t="s">
        <v>2235</v>
      </c>
      <c r="D51" s="16" t="s">
        <v>2250</v>
      </c>
      <c r="E51" s="16" t="s">
        <v>2255</v>
      </c>
      <c r="F51" s="16" t="s">
        <v>13</v>
      </c>
      <c r="G51" s="13">
        <v>3934000</v>
      </c>
      <c r="H51" s="13">
        <v>1803600</v>
      </c>
      <c r="I51" s="13">
        <f t="shared" si="11"/>
        <v>2130400</v>
      </c>
      <c r="J51" s="13">
        <v>1767160</v>
      </c>
      <c r="K51" s="13">
        <f t="shared" si="12"/>
        <v>2166840</v>
      </c>
      <c r="L51" s="25"/>
      <c r="M51" s="23">
        <v>16854000</v>
      </c>
      <c r="N51" s="24" t="s">
        <v>2252</v>
      </c>
    </row>
    <row r="52" spans="1:14" outlineLevel="2">
      <c r="A52" s="16" t="s">
        <v>47</v>
      </c>
      <c r="B52" s="16" t="s">
        <v>48</v>
      </c>
      <c r="C52" s="16" t="s">
        <v>2235</v>
      </c>
      <c r="D52" s="16" t="s">
        <v>2250</v>
      </c>
      <c r="E52" s="16" t="s">
        <v>2256</v>
      </c>
      <c r="F52" s="16" t="s">
        <v>13</v>
      </c>
      <c r="G52" s="13">
        <v>280000</v>
      </c>
      <c r="H52" s="13">
        <v>260000</v>
      </c>
      <c r="I52" s="13">
        <f t="shared" si="11"/>
        <v>20000</v>
      </c>
      <c r="J52" s="13">
        <v>260000</v>
      </c>
      <c r="K52" s="13">
        <f t="shared" si="12"/>
        <v>20000</v>
      </c>
      <c r="L52" s="25"/>
      <c r="M52" s="23">
        <v>16854000</v>
      </c>
      <c r="N52" s="24" t="s">
        <v>2252</v>
      </c>
    </row>
    <row r="53" spans="1:14" outlineLevel="2">
      <c r="A53" s="16" t="s">
        <v>47</v>
      </c>
      <c r="B53" s="16" t="s">
        <v>48</v>
      </c>
      <c r="C53" s="16" t="s">
        <v>2235</v>
      </c>
      <c r="D53" s="16" t="s">
        <v>2250</v>
      </c>
      <c r="E53" s="16" t="s">
        <v>2257</v>
      </c>
      <c r="F53" s="16" t="s">
        <v>13</v>
      </c>
      <c r="G53" s="13">
        <v>840000</v>
      </c>
      <c r="H53" s="13">
        <v>735000</v>
      </c>
      <c r="I53" s="13">
        <f t="shared" si="11"/>
        <v>105000</v>
      </c>
      <c r="J53" s="13">
        <v>735000</v>
      </c>
      <c r="K53" s="13">
        <f t="shared" si="12"/>
        <v>105000</v>
      </c>
      <c r="L53" s="25"/>
      <c r="M53" s="23">
        <v>16854000</v>
      </c>
      <c r="N53" s="24" t="s">
        <v>2252</v>
      </c>
    </row>
    <row r="54" spans="1:14" outlineLevel="2">
      <c r="A54" s="16" t="s">
        <v>47</v>
      </c>
      <c r="B54" s="16" t="s">
        <v>48</v>
      </c>
      <c r="C54" s="16" t="s">
        <v>2235</v>
      </c>
      <c r="D54" s="16" t="s">
        <v>2258</v>
      </c>
      <c r="E54" s="16" t="s">
        <v>124</v>
      </c>
      <c r="F54" s="16" t="s">
        <v>120</v>
      </c>
      <c r="G54" s="13">
        <v>1761000</v>
      </c>
      <c r="H54" s="13">
        <v>1531040</v>
      </c>
      <c r="I54" s="13">
        <f t="shared" si="11"/>
        <v>229960</v>
      </c>
      <c r="J54" s="13">
        <v>1531040</v>
      </c>
      <c r="K54" s="13">
        <f t="shared" si="12"/>
        <v>229960</v>
      </c>
      <c r="L54" s="25"/>
      <c r="M54" s="23">
        <v>10166000</v>
      </c>
      <c r="N54" s="24" t="s">
        <v>2259</v>
      </c>
    </row>
    <row r="55" spans="1:14" outlineLevel="2">
      <c r="A55" s="16" t="s">
        <v>47</v>
      </c>
      <c r="B55" s="16" t="s">
        <v>48</v>
      </c>
      <c r="C55" s="16" t="s">
        <v>2235</v>
      </c>
      <c r="D55" s="16" t="s">
        <v>2258</v>
      </c>
      <c r="E55" s="16" t="s">
        <v>2260</v>
      </c>
      <c r="F55" s="16" t="s">
        <v>32</v>
      </c>
      <c r="G55" s="13">
        <v>8405000</v>
      </c>
      <c r="H55" s="13">
        <v>3677920</v>
      </c>
      <c r="I55" s="13">
        <f t="shared" si="11"/>
        <v>4727080</v>
      </c>
      <c r="J55" s="13">
        <v>3677920</v>
      </c>
      <c r="K55" s="13">
        <f t="shared" si="12"/>
        <v>4727080</v>
      </c>
      <c r="L55" s="25"/>
      <c r="M55" s="23">
        <v>10166000</v>
      </c>
      <c r="N55" s="24" t="s">
        <v>2259</v>
      </c>
    </row>
    <row r="56" spans="1:14" outlineLevel="2">
      <c r="A56" s="16" t="s">
        <v>47</v>
      </c>
      <c r="B56" s="16" t="s">
        <v>48</v>
      </c>
      <c r="C56" s="16" t="s">
        <v>2235</v>
      </c>
      <c r="D56" s="16" t="s">
        <v>2261</v>
      </c>
      <c r="E56" s="16" t="s">
        <v>2262</v>
      </c>
      <c r="F56" s="16" t="s">
        <v>13</v>
      </c>
      <c r="G56" s="13">
        <v>500000</v>
      </c>
      <c r="H56" s="13">
        <v>203800</v>
      </c>
      <c r="I56" s="13">
        <f t="shared" si="11"/>
        <v>296200</v>
      </c>
      <c r="J56" s="13">
        <v>0</v>
      </c>
      <c r="K56" s="13">
        <f t="shared" si="12"/>
        <v>500000</v>
      </c>
      <c r="L56" s="25"/>
      <c r="M56" s="15">
        <v>500000</v>
      </c>
      <c r="N56" s="16" t="s">
        <v>2263</v>
      </c>
    </row>
    <row r="57" spans="1:14" outlineLevel="1">
      <c r="A57" s="3"/>
      <c r="B57" s="3"/>
      <c r="C57" s="4" t="s">
        <v>2314</v>
      </c>
      <c r="D57" s="3"/>
      <c r="E57" s="3"/>
      <c r="F57" s="3"/>
      <c r="G57" s="6">
        <f>SUBTOTAL(9,G39:G56)</f>
        <v>60969000</v>
      </c>
      <c r="H57" s="6">
        <f>SUBTOTAL(9,H39:H56)</f>
        <v>24709630</v>
      </c>
      <c r="I57" s="6">
        <f>SUBTOTAL(9,I39:I56)</f>
        <v>36259370</v>
      </c>
      <c r="J57" s="6">
        <f>SUBTOTAL(9,J39:J56)</f>
        <v>18874910</v>
      </c>
      <c r="K57" s="6">
        <f>SUBTOTAL(9,K39:K56)</f>
        <v>42094090</v>
      </c>
      <c r="L57" s="26">
        <f>K57/G57</f>
        <v>0.69041791730223556</v>
      </c>
      <c r="M57" s="12"/>
      <c r="N57" s="3"/>
    </row>
    <row r="58" spans="1:14" outlineLevel="2">
      <c r="A58" s="16" t="s">
        <v>47</v>
      </c>
      <c r="B58" s="16" t="s">
        <v>57</v>
      </c>
      <c r="C58" s="16" t="s">
        <v>168</v>
      </c>
      <c r="D58" s="16" t="s">
        <v>169</v>
      </c>
      <c r="E58" s="16" t="s">
        <v>2264</v>
      </c>
      <c r="F58" s="16" t="s">
        <v>34</v>
      </c>
      <c r="G58" s="13">
        <v>400000</v>
      </c>
      <c r="H58" s="13">
        <v>0</v>
      </c>
      <c r="I58" s="13">
        <f t="shared" ref="I58" si="13">G58-H58</f>
        <v>400000</v>
      </c>
      <c r="J58" s="13">
        <v>0</v>
      </c>
      <c r="K58" s="13">
        <f t="shared" si="12"/>
        <v>400000</v>
      </c>
      <c r="L58" s="25"/>
      <c r="M58" s="15">
        <v>0</v>
      </c>
      <c r="N58" s="16" t="s">
        <v>2265</v>
      </c>
    </row>
    <row r="59" spans="1:14" outlineLevel="1">
      <c r="A59" s="3"/>
      <c r="B59" s="3"/>
      <c r="C59" s="4" t="s">
        <v>217</v>
      </c>
      <c r="D59" s="3"/>
      <c r="E59" s="3"/>
      <c r="F59" s="3"/>
      <c r="G59" s="6">
        <f>SUBTOTAL(9,G58:G58)</f>
        <v>400000</v>
      </c>
      <c r="H59" s="6">
        <f>SUBTOTAL(9,H58:H58)</f>
        <v>0</v>
      </c>
      <c r="I59" s="6">
        <f>SUBTOTAL(9,I58:I58)</f>
        <v>400000</v>
      </c>
      <c r="J59" s="6">
        <f>SUBTOTAL(9,J58:J58)</f>
        <v>0</v>
      </c>
      <c r="K59" s="6">
        <f>SUBTOTAL(9,K58:K58)</f>
        <v>400000</v>
      </c>
      <c r="L59" s="26">
        <f>K59/G59</f>
        <v>1</v>
      </c>
      <c r="M59" s="12"/>
      <c r="N59" s="3"/>
    </row>
    <row r="60" spans="1:14" outlineLevel="2">
      <c r="A60" s="16" t="s">
        <v>60</v>
      </c>
      <c r="B60" s="16" t="s">
        <v>61</v>
      </c>
      <c r="C60" s="16" t="s">
        <v>2266</v>
      </c>
      <c r="D60" s="16" t="s">
        <v>2267</v>
      </c>
      <c r="E60" s="16" t="s">
        <v>2268</v>
      </c>
      <c r="F60" s="16" t="s">
        <v>25</v>
      </c>
      <c r="G60" s="13">
        <v>4545000</v>
      </c>
      <c r="H60" s="13">
        <v>1856250</v>
      </c>
      <c r="I60" s="13">
        <f t="shared" ref="I60:I62" si="14">G60-H60</f>
        <v>2688750</v>
      </c>
      <c r="J60" s="13">
        <v>1856250</v>
      </c>
      <c r="K60" s="13">
        <f t="shared" si="12"/>
        <v>2688750</v>
      </c>
      <c r="L60" s="25"/>
      <c r="M60" s="23">
        <v>5565000</v>
      </c>
      <c r="N60" s="24" t="s">
        <v>2269</v>
      </c>
    </row>
    <row r="61" spans="1:14" outlineLevel="2">
      <c r="A61" s="16" t="s">
        <v>60</v>
      </c>
      <c r="B61" s="16" t="s">
        <v>61</v>
      </c>
      <c r="C61" s="16" t="s">
        <v>2266</v>
      </c>
      <c r="D61" s="16" t="s">
        <v>2267</v>
      </c>
      <c r="E61" s="16" t="s">
        <v>2270</v>
      </c>
      <c r="F61" s="16" t="s">
        <v>25</v>
      </c>
      <c r="G61" s="13">
        <v>1020000</v>
      </c>
      <c r="H61" s="13">
        <v>420000</v>
      </c>
      <c r="I61" s="13">
        <f t="shared" si="14"/>
        <v>600000</v>
      </c>
      <c r="J61" s="13">
        <v>420000</v>
      </c>
      <c r="K61" s="13">
        <f t="shared" si="12"/>
        <v>600000</v>
      </c>
      <c r="L61" s="25"/>
      <c r="M61" s="23">
        <v>5565000</v>
      </c>
      <c r="N61" s="24" t="s">
        <v>2269</v>
      </c>
    </row>
    <row r="62" spans="1:14" outlineLevel="2">
      <c r="A62" s="16" t="s">
        <v>60</v>
      </c>
      <c r="B62" s="16" t="s">
        <v>61</v>
      </c>
      <c r="C62" s="16" t="s">
        <v>2266</v>
      </c>
      <c r="D62" s="16" t="s">
        <v>2271</v>
      </c>
      <c r="E62" s="16" t="s">
        <v>2271</v>
      </c>
      <c r="F62" s="16" t="s">
        <v>120</v>
      </c>
      <c r="G62" s="13">
        <v>6185000</v>
      </c>
      <c r="H62" s="13">
        <v>1081020</v>
      </c>
      <c r="I62" s="13">
        <f t="shared" si="14"/>
        <v>5103980</v>
      </c>
      <c r="J62" s="13">
        <v>1081020</v>
      </c>
      <c r="K62" s="13">
        <f t="shared" si="12"/>
        <v>5103980</v>
      </c>
      <c r="L62" s="25"/>
      <c r="M62" s="15">
        <v>6185000</v>
      </c>
      <c r="N62" s="16" t="s">
        <v>2272</v>
      </c>
    </row>
    <row r="63" spans="1:14" outlineLevel="1">
      <c r="A63" s="3"/>
      <c r="B63" s="3"/>
      <c r="C63" s="4" t="s">
        <v>2315</v>
      </c>
      <c r="D63" s="3"/>
      <c r="E63" s="3"/>
      <c r="F63" s="3"/>
      <c r="G63" s="6">
        <f>SUBTOTAL(9,G60:G62)</f>
        <v>11750000</v>
      </c>
      <c r="H63" s="6">
        <f>SUBTOTAL(9,H60:H62)</f>
        <v>3357270</v>
      </c>
      <c r="I63" s="6">
        <f>SUBTOTAL(9,I60:I62)</f>
        <v>8392730</v>
      </c>
      <c r="J63" s="6">
        <f>SUBTOTAL(9,J60:J62)</f>
        <v>3357270</v>
      </c>
      <c r="K63" s="6">
        <f>SUBTOTAL(9,K60:K62)</f>
        <v>8392730</v>
      </c>
      <c r="L63" s="26">
        <f>K63/G63</f>
        <v>0.71427489361702123</v>
      </c>
      <c r="M63" s="12"/>
      <c r="N63" s="3"/>
    </row>
    <row r="64" spans="1:14" outlineLevel="2">
      <c r="A64" s="16" t="s">
        <v>68</v>
      </c>
      <c r="B64" s="16" t="s">
        <v>69</v>
      </c>
      <c r="C64" s="16" t="s">
        <v>70</v>
      </c>
      <c r="D64" s="16" t="s">
        <v>70</v>
      </c>
      <c r="E64" s="16" t="s">
        <v>2273</v>
      </c>
      <c r="F64" s="16" t="s">
        <v>15</v>
      </c>
      <c r="G64" s="13">
        <v>600000</v>
      </c>
      <c r="H64" s="13">
        <v>396000</v>
      </c>
      <c r="I64" s="13">
        <f t="shared" ref="I64:I69" si="15">G64-H64</f>
        <v>204000</v>
      </c>
      <c r="J64" s="13">
        <v>396000</v>
      </c>
      <c r="K64" s="13">
        <f t="shared" ref="K64:K79" si="16">G64-J64</f>
        <v>204000</v>
      </c>
      <c r="L64" s="25"/>
      <c r="M64" s="23">
        <v>0</v>
      </c>
      <c r="N64" s="24" t="s">
        <v>2274</v>
      </c>
    </row>
    <row r="65" spans="1:14" outlineLevel="2">
      <c r="A65" s="16" t="s">
        <v>68</v>
      </c>
      <c r="B65" s="16" t="s">
        <v>69</v>
      </c>
      <c r="C65" s="16" t="s">
        <v>70</v>
      </c>
      <c r="D65" s="16" t="s">
        <v>70</v>
      </c>
      <c r="E65" s="16" t="s">
        <v>187</v>
      </c>
      <c r="F65" s="16" t="s">
        <v>15</v>
      </c>
      <c r="G65" s="13">
        <v>594000</v>
      </c>
      <c r="H65" s="13">
        <v>594000</v>
      </c>
      <c r="I65" s="13">
        <f t="shared" si="15"/>
        <v>0</v>
      </c>
      <c r="J65" s="13">
        <v>594000</v>
      </c>
      <c r="K65" s="13">
        <f t="shared" si="16"/>
        <v>0</v>
      </c>
      <c r="L65" s="25"/>
      <c r="M65" s="23">
        <v>0</v>
      </c>
      <c r="N65" s="24" t="s">
        <v>2274</v>
      </c>
    </row>
    <row r="66" spans="1:14" outlineLevel="2">
      <c r="A66" s="16" t="s">
        <v>68</v>
      </c>
      <c r="B66" s="16" t="s">
        <v>69</v>
      </c>
      <c r="C66" s="16" t="s">
        <v>70</v>
      </c>
      <c r="D66" s="16" t="s">
        <v>70</v>
      </c>
      <c r="E66" s="16" t="s">
        <v>2275</v>
      </c>
      <c r="F66" s="16" t="s">
        <v>13</v>
      </c>
      <c r="G66" s="13">
        <v>2000000</v>
      </c>
      <c r="H66" s="13">
        <v>0</v>
      </c>
      <c r="I66" s="13">
        <f t="shared" si="15"/>
        <v>2000000</v>
      </c>
      <c r="J66" s="13">
        <v>0</v>
      </c>
      <c r="K66" s="13">
        <f t="shared" si="16"/>
        <v>2000000</v>
      </c>
      <c r="L66" s="25"/>
      <c r="M66" s="23">
        <v>0</v>
      </c>
      <c r="N66" s="24" t="s">
        <v>2274</v>
      </c>
    </row>
    <row r="67" spans="1:14" outlineLevel="2">
      <c r="A67" s="16" t="s">
        <v>68</v>
      </c>
      <c r="B67" s="16" t="s">
        <v>69</v>
      </c>
      <c r="C67" s="16" t="s">
        <v>70</v>
      </c>
      <c r="D67" s="16" t="s">
        <v>188</v>
      </c>
      <c r="E67" s="16" t="s">
        <v>189</v>
      </c>
      <c r="F67" s="16" t="s">
        <v>13</v>
      </c>
      <c r="G67" s="13">
        <v>500000</v>
      </c>
      <c r="H67" s="13">
        <v>0</v>
      </c>
      <c r="I67" s="13">
        <f t="shared" si="15"/>
        <v>500000</v>
      </c>
      <c r="J67" s="13">
        <v>0</v>
      </c>
      <c r="K67" s="13">
        <f t="shared" si="16"/>
        <v>500000</v>
      </c>
      <c r="L67" s="25"/>
      <c r="M67" s="23">
        <v>0</v>
      </c>
      <c r="N67" s="24" t="s">
        <v>2276</v>
      </c>
    </row>
    <row r="68" spans="1:14" outlineLevel="2">
      <c r="A68" s="16" t="s">
        <v>68</v>
      </c>
      <c r="B68" s="16" t="s">
        <v>69</v>
      </c>
      <c r="C68" s="16" t="s">
        <v>70</v>
      </c>
      <c r="D68" s="16" t="s">
        <v>188</v>
      </c>
      <c r="E68" s="16" t="s">
        <v>2277</v>
      </c>
      <c r="F68" s="16" t="s">
        <v>13</v>
      </c>
      <c r="G68" s="13">
        <v>500000</v>
      </c>
      <c r="H68" s="13">
        <v>0</v>
      </c>
      <c r="I68" s="13">
        <f t="shared" si="15"/>
        <v>500000</v>
      </c>
      <c r="J68" s="13">
        <v>0</v>
      </c>
      <c r="K68" s="13">
        <f t="shared" si="16"/>
        <v>500000</v>
      </c>
      <c r="L68" s="25"/>
      <c r="M68" s="23">
        <v>0</v>
      </c>
      <c r="N68" s="24" t="s">
        <v>2276</v>
      </c>
    </row>
    <row r="69" spans="1:14" outlineLevel="2">
      <c r="A69" s="16" t="s">
        <v>68</v>
      </c>
      <c r="B69" s="16" t="s">
        <v>69</v>
      </c>
      <c r="C69" s="16" t="s">
        <v>70</v>
      </c>
      <c r="D69" s="16" t="s">
        <v>190</v>
      </c>
      <c r="E69" s="16" t="s">
        <v>2278</v>
      </c>
      <c r="F69" s="16" t="s">
        <v>14</v>
      </c>
      <c r="G69" s="13">
        <v>1260000</v>
      </c>
      <c r="H69" s="13">
        <v>368000</v>
      </c>
      <c r="I69" s="13">
        <f t="shared" si="15"/>
        <v>892000</v>
      </c>
      <c r="J69" s="13">
        <v>368000</v>
      </c>
      <c r="K69" s="13">
        <f t="shared" si="16"/>
        <v>892000</v>
      </c>
      <c r="L69" s="25"/>
      <c r="M69" s="15">
        <v>0</v>
      </c>
      <c r="N69" s="16" t="s">
        <v>2231</v>
      </c>
    </row>
    <row r="70" spans="1:14" outlineLevel="1">
      <c r="A70" s="3"/>
      <c r="B70" s="3"/>
      <c r="C70" s="4" t="s">
        <v>71</v>
      </c>
      <c r="D70" s="3"/>
      <c r="E70" s="3"/>
      <c r="F70" s="3"/>
      <c r="G70" s="6">
        <f>SUBTOTAL(9,G64:G69)</f>
        <v>5454000</v>
      </c>
      <c r="H70" s="6">
        <f>SUBTOTAL(9,H64:H69)</f>
        <v>1358000</v>
      </c>
      <c r="I70" s="6">
        <f>SUBTOTAL(9,I64:I69)</f>
        <v>4096000</v>
      </c>
      <c r="J70" s="6">
        <f>SUBTOTAL(9,J64:J69)</f>
        <v>1358000</v>
      </c>
      <c r="K70" s="6">
        <f>SUBTOTAL(9,K64:K69)</f>
        <v>4096000</v>
      </c>
      <c r="L70" s="26">
        <f>K70/G70</f>
        <v>0.75100843417675101</v>
      </c>
      <c r="M70" s="12"/>
      <c r="N70" s="3"/>
    </row>
    <row r="71" spans="1:14" outlineLevel="2">
      <c r="A71" s="16" t="s">
        <v>68</v>
      </c>
      <c r="B71" s="16" t="s">
        <v>73</v>
      </c>
      <c r="C71" s="16" t="s">
        <v>75</v>
      </c>
      <c r="D71" s="16" t="s">
        <v>2279</v>
      </c>
      <c r="E71" s="16" t="s">
        <v>194</v>
      </c>
      <c r="F71" s="16" t="s">
        <v>15</v>
      </c>
      <c r="G71" s="13">
        <v>2640000</v>
      </c>
      <c r="H71" s="13">
        <v>2772000</v>
      </c>
      <c r="I71" s="13">
        <f t="shared" ref="I71:I73" si="17">G71-H71</f>
        <v>-132000</v>
      </c>
      <c r="J71" s="13">
        <v>462000</v>
      </c>
      <c r="K71" s="13">
        <f t="shared" si="16"/>
        <v>2178000</v>
      </c>
      <c r="L71" s="25"/>
      <c r="M71" s="23">
        <v>0</v>
      </c>
      <c r="N71" s="24" t="s">
        <v>2280</v>
      </c>
    </row>
    <row r="72" spans="1:14" outlineLevel="2">
      <c r="A72" s="16" t="s">
        <v>68</v>
      </c>
      <c r="B72" s="16" t="s">
        <v>73</v>
      </c>
      <c r="C72" s="16" t="s">
        <v>75</v>
      </c>
      <c r="D72" s="16" t="s">
        <v>2279</v>
      </c>
      <c r="E72" s="16" t="s">
        <v>196</v>
      </c>
      <c r="F72" s="16" t="s">
        <v>15</v>
      </c>
      <c r="G72" s="13">
        <v>1452000</v>
      </c>
      <c r="H72" s="13">
        <v>1452000</v>
      </c>
      <c r="I72" s="13">
        <f t="shared" si="17"/>
        <v>0</v>
      </c>
      <c r="J72" s="13">
        <v>242000</v>
      </c>
      <c r="K72" s="13">
        <f t="shared" si="16"/>
        <v>1210000</v>
      </c>
      <c r="L72" s="25"/>
      <c r="M72" s="23">
        <v>0</v>
      </c>
      <c r="N72" s="24" t="s">
        <v>2280</v>
      </c>
    </row>
    <row r="73" spans="1:14" outlineLevel="2">
      <c r="A73" s="16" t="s">
        <v>68</v>
      </c>
      <c r="B73" s="16" t="s">
        <v>73</v>
      </c>
      <c r="C73" s="16" t="s">
        <v>75</v>
      </c>
      <c r="D73" s="16" t="s">
        <v>2279</v>
      </c>
      <c r="E73" s="16" t="s">
        <v>2281</v>
      </c>
      <c r="F73" s="16" t="s">
        <v>13</v>
      </c>
      <c r="G73" s="13">
        <v>2000000</v>
      </c>
      <c r="H73" s="13">
        <v>0</v>
      </c>
      <c r="I73" s="13">
        <f t="shared" si="17"/>
        <v>2000000</v>
      </c>
      <c r="J73" s="13">
        <v>0</v>
      </c>
      <c r="K73" s="13">
        <f t="shared" si="16"/>
        <v>2000000</v>
      </c>
      <c r="L73" s="25"/>
      <c r="M73" s="23">
        <v>0</v>
      </c>
      <c r="N73" s="24" t="s">
        <v>2280</v>
      </c>
    </row>
    <row r="74" spans="1:14" outlineLevel="1">
      <c r="A74" s="3"/>
      <c r="B74" s="3"/>
      <c r="C74" s="4" t="s">
        <v>77</v>
      </c>
      <c r="D74" s="3"/>
      <c r="E74" s="3"/>
      <c r="F74" s="3"/>
      <c r="G74" s="6">
        <f>SUBTOTAL(9,G71:G73)</f>
        <v>6092000</v>
      </c>
      <c r="H74" s="6">
        <f>SUBTOTAL(9,H71:H73)</f>
        <v>4224000</v>
      </c>
      <c r="I74" s="6">
        <f>SUBTOTAL(9,I71:I73)</f>
        <v>1868000</v>
      </c>
      <c r="J74" s="6">
        <f>SUBTOTAL(9,J71:J73)</f>
        <v>704000</v>
      </c>
      <c r="K74" s="6">
        <f>SUBTOTAL(9,K71:K73)</f>
        <v>5388000</v>
      </c>
      <c r="L74" s="26">
        <f>K74/G74</f>
        <v>0.88443860801050556</v>
      </c>
      <c r="M74" s="12"/>
      <c r="N74" s="3"/>
    </row>
    <row r="75" spans="1:14" outlineLevel="2">
      <c r="A75" s="16" t="s">
        <v>68</v>
      </c>
      <c r="B75" s="16" t="s">
        <v>78</v>
      </c>
      <c r="C75" s="16" t="s">
        <v>79</v>
      </c>
      <c r="D75" s="16" t="s">
        <v>197</v>
      </c>
      <c r="E75" s="16" t="s">
        <v>2282</v>
      </c>
      <c r="F75" s="16" t="s">
        <v>31</v>
      </c>
      <c r="G75" s="13">
        <v>12000000</v>
      </c>
      <c r="H75" s="13">
        <v>0</v>
      </c>
      <c r="I75" s="13">
        <f t="shared" ref="I75" si="18">G75-H75</f>
        <v>12000000</v>
      </c>
      <c r="J75" s="13">
        <v>0</v>
      </c>
      <c r="K75" s="13">
        <f t="shared" si="16"/>
        <v>12000000</v>
      </c>
      <c r="L75" s="25"/>
      <c r="M75" s="15">
        <v>0</v>
      </c>
      <c r="N75" s="16" t="s">
        <v>2283</v>
      </c>
    </row>
    <row r="76" spans="1:14" outlineLevel="1">
      <c r="A76" s="3"/>
      <c r="B76" s="3"/>
      <c r="C76" s="4" t="s">
        <v>80</v>
      </c>
      <c r="D76" s="3"/>
      <c r="E76" s="3"/>
      <c r="F76" s="3"/>
      <c r="G76" s="6">
        <f>SUBTOTAL(9,G75:G75)</f>
        <v>12000000</v>
      </c>
      <c r="H76" s="6">
        <f>SUBTOTAL(9,H75:H75)</f>
        <v>0</v>
      </c>
      <c r="I76" s="6">
        <f>SUBTOTAL(9,I75:I75)</f>
        <v>12000000</v>
      </c>
      <c r="J76" s="6">
        <f>SUBTOTAL(9,J75:J75)</f>
        <v>0</v>
      </c>
      <c r="K76" s="6">
        <f>SUBTOTAL(9,K75:K75)</f>
        <v>12000000</v>
      </c>
      <c r="L76" s="26">
        <f>K76/G76</f>
        <v>1</v>
      </c>
      <c r="M76" s="12"/>
      <c r="N76" s="3"/>
    </row>
    <row r="77" spans="1:14" outlineLevel="2">
      <c r="A77" s="16" t="s">
        <v>68</v>
      </c>
      <c r="B77" s="16" t="s">
        <v>81</v>
      </c>
      <c r="C77" s="16" t="s">
        <v>84</v>
      </c>
      <c r="D77" s="16" t="s">
        <v>207</v>
      </c>
      <c r="E77" s="16" t="s">
        <v>2284</v>
      </c>
      <c r="F77" s="16" t="s">
        <v>13</v>
      </c>
      <c r="G77" s="13">
        <v>300000</v>
      </c>
      <c r="H77" s="13">
        <v>0</v>
      </c>
      <c r="I77" s="13">
        <f t="shared" ref="I77" si="19">G77-H77</f>
        <v>300000</v>
      </c>
      <c r="J77" s="13">
        <v>0</v>
      </c>
      <c r="K77" s="13">
        <f t="shared" si="16"/>
        <v>300000</v>
      </c>
      <c r="L77" s="25"/>
      <c r="M77" s="15">
        <v>0</v>
      </c>
      <c r="N77" s="16" t="s">
        <v>2285</v>
      </c>
    </row>
    <row r="78" spans="1:14" outlineLevel="1">
      <c r="A78" s="3"/>
      <c r="B78" s="3"/>
      <c r="C78" s="4" t="s">
        <v>85</v>
      </c>
      <c r="D78" s="3"/>
      <c r="E78" s="3"/>
      <c r="F78" s="3"/>
      <c r="G78" s="6">
        <f>SUBTOTAL(9,G77:G77)</f>
        <v>300000</v>
      </c>
      <c r="H78" s="6">
        <f>SUBTOTAL(9,H77:H77)</f>
        <v>0</v>
      </c>
      <c r="I78" s="6">
        <f>SUBTOTAL(9,I77:I77)</f>
        <v>300000</v>
      </c>
      <c r="J78" s="6">
        <f>SUBTOTAL(9,J77:J77)</f>
        <v>0</v>
      </c>
      <c r="K78" s="6">
        <f>SUBTOTAL(9,K77:K77)</f>
        <v>300000</v>
      </c>
      <c r="L78" s="26">
        <f>K78/G78</f>
        <v>1</v>
      </c>
      <c r="M78" s="12"/>
      <c r="N78" s="3"/>
    </row>
    <row r="79" spans="1:14" outlineLevel="2">
      <c r="A79" s="16" t="s">
        <v>86</v>
      </c>
      <c r="B79" s="16" t="s">
        <v>98</v>
      </c>
      <c r="C79" s="16" t="s">
        <v>99</v>
      </c>
      <c r="D79" s="16" t="s">
        <v>99</v>
      </c>
      <c r="E79" s="16" t="s">
        <v>2286</v>
      </c>
      <c r="F79" s="16" t="s">
        <v>14</v>
      </c>
      <c r="G79" s="13">
        <v>420000</v>
      </c>
      <c r="H79" s="13">
        <v>0</v>
      </c>
      <c r="I79" s="13">
        <f t="shared" ref="I79" si="20">G79-H79</f>
        <v>420000</v>
      </c>
      <c r="J79" s="13">
        <v>0</v>
      </c>
      <c r="K79" s="13">
        <f t="shared" si="16"/>
        <v>420000</v>
      </c>
      <c r="L79" s="25"/>
      <c r="M79" s="15">
        <v>0</v>
      </c>
      <c r="N79" s="16" t="s">
        <v>2287</v>
      </c>
    </row>
    <row r="80" spans="1:14" outlineLevel="1">
      <c r="A80" s="3"/>
      <c r="B80" s="3"/>
      <c r="C80" s="4" t="s">
        <v>100</v>
      </c>
      <c r="D80" s="3"/>
      <c r="E80" s="3"/>
      <c r="F80" s="3"/>
      <c r="G80" s="6">
        <f>SUBTOTAL(9,G79:G79)</f>
        <v>420000</v>
      </c>
      <c r="H80" s="6">
        <f>SUBTOTAL(9,H79:H79)</f>
        <v>0</v>
      </c>
      <c r="I80" s="6">
        <f>SUBTOTAL(9,I79:I79)</f>
        <v>420000</v>
      </c>
      <c r="J80" s="6">
        <f>SUBTOTAL(9,J79:J79)</f>
        <v>0</v>
      </c>
      <c r="K80" s="6">
        <f>SUBTOTAL(9,K79:K79)</f>
        <v>420000</v>
      </c>
      <c r="L80" s="26">
        <f>K80/G80</f>
        <v>1</v>
      </c>
      <c r="M80" s="12"/>
      <c r="N80" s="3"/>
    </row>
    <row r="81" spans="1:14" outlineLevel="2">
      <c r="A81" s="16" t="s">
        <v>86</v>
      </c>
      <c r="B81" s="16" t="s">
        <v>98</v>
      </c>
      <c r="C81" s="16" t="s">
        <v>101</v>
      </c>
      <c r="D81" s="16" t="s">
        <v>211</v>
      </c>
      <c r="E81" s="16" t="s">
        <v>2288</v>
      </c>
      <c r="F81" s="16" t="s">
        <v>14</v>
      </c>
      <c r="G81" s="13">
        <v>500000</v>
      </c>
      <c r="H81" s="13">
        <v>0</v>
      </c>
      <c r="I81" s="13">
        <f t="shared" ref="I81:I83" si="21">G81-H81</f>
        <v>500000</v>
      </c>
      <c r="J81" s="13">
        <v>0</v>
      </c>
      <c r="K81" s="13">
        <f t="shared" ref="K81:K104" si="22">G81-J81</f>
        <v>500000</v>
      </c>
      <c r="L81" s="25"/>
      <c r="M81" s="15">
        <v>0</v>
      </c>
      <c r="N81" s="16" t="s">
        <v>2191</v>
      </c>
    </row>
    <row r="82" spans="1:14" outlineLevel="2">
      <c r="A82" s="16" t="s">
        <v>86</v>
      </c>
      <c r="B82" s="16" t="s">
        <v>98</v>
      </c>
      <c r="C82" s="16" t="s">
        <v>101</v>
      </c>
      <c r="D82" s="16" t="s">
        <v>2289</v>
      </c>
      <c r="E82" s="16" t="s">
        <v>2290</v>
      </c>
      <c r="F82" s="16" t="s">
        <v>15</v>
      </c>
      <c r="G82" s="13">
        <v>800000</v>
      </c>
      <c r="H82" s="13">
        <v>0</v>
      </c>
      <c r="I82" s="13">
        <f t="shared" si="21"/>
        <v>800000</v>
      </c>
      <c r="J82" s="13">
        <v>0</v>
      </c>
      <c r="K82" s="13">
        <f t="shared" si="22"/>
        <v>800000</v>
      </c>
      <c r="L82" s="25"/>
      <c r="M82" s="23">
        <v>0</v>
      </c>
      <c r="N82" s="24" t="s">
        <v>2189</v>
      </c>
    </row>
    <row r="83" spans="1:14" outlineLevel="2">
      <c r="A83" s="16" t="s">
        <v>86</v>
      </c>
      <c r="B83" s="16" t="s">
        <v>98</v>
      </c>
      <c r="C83" s="16" t="s">
        <v>101</v>
      </c>
      <c r="D83" s="16" t="s">
        <v>2289</v>
      </c>
      <c r="E83" s="16" t="s">
        <v>2291</v>
      </c>
      <c r="F83" s="16" t="s">
        <v>25</v>
      </c>
      <c r="G83" s="13">
        <v>1000000</v>
      </c>
      <c r="H83" s="13">
        <v>350000</v>
      </c>
      <c r="I83" s="13">
        <f t="shared" si="21"/>
        <v>650000</v>
      </c>
      <c r="J83" s="13">
        <v>350000</v>
      </c>
      <c r="K83" s="13">
        <f t="shared" si="22"/>
        <v>650000</v>
      </c>
      <c r="L83" s="25"/>
      <c r="M83" s="23">
        <v>0</v>
      </c>
      <c r="N83" s="24" t="s">
        <v>2189</v>
      </c>
    </row>
    <row r="84" spans="1:14" outlineLevel="1">
      <c r="A84" s="3"/>
      <c r="B84" s="3"/>
      <c r="C84" s="4" t="s">
        <v>102</v>
      </c>
      <c r="D84" s="3"/>
      <c r="E84" s="3"/>
      <c r="F84" s="3"/>
      <c r="G84" s="6">
        <f>SUBTOTAL(9,G81:G83)</f>
        <v>2300000</v>
      </c>
      <c r="H84" s="6">
        <f>SUBTOTAL(9,H81:H83)</f>
        <v>350000</v>
      </c>
      <c r="I84" s="6">
        <f>SUBTOTAL(9,I81:I83)</f>
        <v>1950000</v>
      </c>
      <c r="J84" s="6">
        <f>SUBTOTAL(9,J81:J83)</f>
        <v>350000</v>
      </c>
      <c r="K84" s="6">
        <f>SUBTOTAL(9,K81:K83)</f>
        <v>1950000</v>
      </c>
      <c r="L84" s="26">
        <f>K84/G84</f>
        <v>0.84782608695652173</v>
      </c>
      <c r="M84" s="12"/>
      <c r="N84" s="3"/>
    </row>
    <row r="85" spans="1:14" outlineLevel="2">
      <c r="A85" s="16" t="s">
        <v>86</v>
      </c>
      <c r="B85" s="16" t="s">
        <v>103</v>
      </c>
      <c r="C85" s="16" t="s">
        <v>2292</v>
      </c>
      <c r="D85" s="16" t="s">
        <v>2293</v>
      </c>
      <c r="E85" s="16" t="s">
        <v>89</v>
      </c>
      <c r="F85" s="16" t="s">
        <v>89</v>
      </c>
      <c r="G85" s="13">
        <v>16080000</v>
      </c>
      <c r="H85" s="13">
        <v>2416980</v>
      </c>
      <c r="I85" s="13">
        <f t="shared" ref="I85:I105" si="23">G85-H85</f>
        <v>13663020</v>
      </c>
      <c r="J85" s="13">
        <v>2416980</v>
      </c>
      <c r="K85" s="13">
        <f t="shared" si="22"/>
        <v>13663020</v>
      </c>
      <c r="L85" s="25"/>
      <c r="M85" s="23">
        <v>0</v>
      </c>
      <c r="N85" s="24" t="s">
        <v>2294</v>
      </c>
    </row>
    <row r="86" spans="1:14" outlineLevel="2">
      <c r="A86" s="16" t="s">
        <v>86</v>
      </c>
      <c r="B86" s="16" t="s">
        <v>103</v>
      </c>
      <c r="C86" s="16" t="s">
        <v>2292</v>
      </c>
      <c r="D86" s="16" t="s">
        <v>2293</v>
      </c>
      <c r="E86" s="16" t="s">
        <v>90</v>
      </c>
      <c r="F86" s="16" t="s">
        <v>90</v>
      </c>
      <c r="G86" s="13">
        <v>4600000</v>
      </c>
      <c r="H86" s="13">
        <v>0</v>
      </c>
      <c r="I86" s="13">
        <f t="shared" si="23"/>
        <v>4600000</v>
      </c>
      <c r="J86" s="13">
        <v>0</v>
      </c>
      <c r="K86" s="13">
        <f t="shared" si="22"/>
        <v>4600000</v>
      </c>
      <c r="L86" s="25"/>
      <c r="M86" s="23">
        <v>0</v>
      </c>
      <c r="N86" s="24" t="s">
        <v>2294</v>
      </c>
    </row>
    <row r="87" spans="1:14" outlineLevel="2">
      <c r="A87" s="16" t="s">
        <v>86</v>
      </c>
      <c r="B87" s="16" t="s">
        <v>103</v>
      </c>
      <c r="C87" s="16" t="s">
        <v>2292</v>
      </c>
      <c r="D87" s="16" t="s">
        <v>2293</v>
      </c>
      <c r="E87" s="16" t="s">
        <v>2295</v>
      </c>
      <c r="F87" s="16" t="s">
        <v>30</v>
      </c>
      <c r="G87" s="13">
        <v>6720000</v>
      </c>
      <c r="H87" s="13">
        <v>1878460</v>
      </c>
      <c r="I87" s="13">
        <f t="shared" si="23"/>
        <v>4841540</v>
      </c>
      <c r="J87" s="13">
        <v>1490430</v>
      </c>
      <c r="K87" s="13">
        <f t="shared" si="22"/>
        <v>5229570</v>
      </c>
      <c r="L87" s="25"/>
      <c r="M87" s="23">
        <v>0</v>
      </c>
      <c r="N87" s="24" t="s">
        <v>2294</v>
      </c>
    </row>
    <row r="88" spans="1:14" outlineLevel="2">
      <c r="A88" s="16" t="s">
        <v>86</v>
      </c>
      <c r="B88" s="16" t="s">
        <v>103</v>
      </c>
      <c r="C88" s="16" t="s">
        <v>2292</v>
      </c>
      <c r="D88" s="16" t="s">
        <v>2293</v>
      </c>
      <c r="E88" s="16" t="s">
        <v>93</v>
      </c>
      <c r="F88" s="16" t="s">
        <v>92</v>
      </c>
      <c r="G88" s="13">
        <v>50000</v>
      </c>
      <c r="H88" s="13">
        <v>0</v>
      </c>
      <c r="I88" s="13">
        <f t="shared" si="23"/>
        <v>50000</v>
      </c>
      <c r="J88" s="13">
        <v>0</v>
      </c>
      <c r="K88" s="13">
        <f t="shared" si="22"/>
        <v>50000</v>
      </c>
      <c r="L88" s="25"/>
      <c r="M88" s="23">
        <v>0</v>
      </c>
      <c r="N88" s="24" t="s">
        <v>2294</v>
      </c>
    </row>
    <row r="89" spans="1:14" outlineLevel="2">
      <c r="A89" s="16" t="s">
        <v>86</v>
      </c>
      <c r="B89" s="16" t="s">
        <v>103</v>
      </c>
      <c r="C89" s="16" t="s">
        <v>2292</v>
      </c>
      <c r="D89" s="16" t="s">
        <v>2293</v>
      </c>
      <c r="E89" s="16" t="s">
        <v>91</v>
      </c>
      <c r="F89" s="16" t="s">
        <v>92</v>
      </c>
      <c r="G89" s="13">
        <v>1800000</v>
      </c>
      <c r="H89" s="13">
        <v>264440</v>
      </c>
      <c r="I89" s="13">
        <f t="shared" si="23"/>
        <v>1535560</v>
      </c>
      <c r="J89" s="13">
        <v>264440</v>
      </c>
      <c r="K89" s="13">
        <f t="shared" si="22"/>
        <v>1535560</v>
      </c>
      <c r="L89" s="25"/>
      <c r="M89" s="23">
        <v>0</v>
      </c>
      <c r="N89" s="24" t="s">
        <v>2294</v>
      </c>
    </row>
    <row r="90" spans="1:14" outlineLevel="2">
      <c r="A90" s="16" t="s">
        <v>86</v>
      </c>
      <c r="B90" s="16" t="s">
        <v>103</v>
      </c>
      <c r="C90" s="16" t="s">
        <v>2292</v>
      </c>
      <c r="D90" s="16" t="s">
        <v>2296</v>
      </c>
      <c r="E90" s="16" t="s">
        <v>209</v>
      </c>
      <c r="F90" s="16" t="s">
        <v>15</v>
      </c>
      <c r="G90" s="13">
        <v>509000</v>
      </c>
      <c r="H90" s="13">
        <v>508200</v>
      </c>
      <c r="I90" s="13">
        <f t="shared" si="23"/>
        <v>800</v>
      </c>
      <c r="J90" s="13">
        <v>84700</v>
      </c>
      <c r="K90" s="13">
        <f t="shared" si="22"/>
        <v>424300</v>
      </c>
      <c r="L90" s="25"/>
      <c r="M90" s="23">
        <v>0</v>
      </c>
      <c r="N90" s="24" t="s">
        <v>2297</v>
      </c>
    </row>
    <row r="91" spans="1:14" outlineLevel="2">
      <c r="A91" s="16" t="s">
        <v>86</v>
      </c>
      <c r="B91" s="16" t="s">
        <v>103</v>
      </c>
      <c r="C91" s="16" t="s">
        <v>2292</v>
      </c>
      <c r="D91" s="16" t="s">
        <v>2296</v>
      </c>
      <c r="E91" s="16" t="s">
        <v>208</v>
      </c>
      <c r="F91" s="16" t="s">
        <v>15</v>
      </c>
      <c r="G91" s="13">
        <v>1056000</v>
      </c>
      <c r="H91" s="13">
        <v>1056000</v>
      </c>
      <c r="I91" s="13">
        <f t="shared" si="23"/>
        <v>0</v>
      </c>
      <c r="J91" s="13">
        <v>176000</v>
      </c>
      <c r="K91" s="13">
        <f t="shared" si="22"/>
        <v>880000</v>
      </c>
      <c r="L91" s="25"/>
      <c r="M91" s="23">
        <v>0</v>
      </c>
      <c r="N91" s="24" t="s">
        <v>2297</v>
      </c>
    </row>
    <row r="92" spans="1:14" outlineLevel="2">
      <c r="A92" s="16" t="s">
        <v>86</v>
      </c>
      <c r="B92" s="16" t="s">
        <v>103</v>
      </c>
      <c r="C92" s="16" t="s">
        <v>2292</v>
      </c>
      <c r="D92" s="16" t="s">
        <v>2296</v>
      </c>
      <c r="E92" s="16" t="s">
        <v>2298</v>
      </c>
      <c r="F92" s="16" t="s">
        <v>15</v>
      </c>
      <c r="G92" s="13">
        <v>21080000</v>
      </c>
      <c r="H92" s="13">
        <v>21079370</v>
      </c>
      <c r="I92" s="13">
        <f t="shared" si="23"/>
        <v>630</v>
      </c>
      <c r="J92" s="13">
        <v>3263680</v>
      </c>
      <c r="K92" s="13">
        <f t="shared" si="22"/>
        <v>17816320</v>
      </c>
      <c r="L92" s="25"/>
      <c r="M92" s="23">
        <v>0</v>
      </c>
      <c r="N92" s="24" t="s">
        <v>2297</v>
      </c>
    </row>
    <row r="93" spans="1:14" outlineLevel="2">
      <c r="A93" s="16" t="s">
        <v>86</v>
      </c>
      <c r="B93" s="16" t="s">
        <v>103</v>
      </c>
      <c r="C93" s="16" t="s">
        <v>2292</v>
      </c>
      <c r="D93" s="16" t="s">
        <v>2296</v>
      </c>
      <c r="E93" s="16" t="s">
        <v>2299</v>
      </c>
      <c r="F93" s="16" t="s">
        <v>15</v>
      </c>
      <c r="G93" s="13">
        <v>1200000</v>
      </c>
      <c r="H93" s="13">
        <v>0</v>
      </c>
      <c r="I93" s="13">
        <f t="shared" si="23"/>
        <v>1200000</v>
      </c>
      <c r="J93" s="13">
        <v>0</v>
      </c>
      <c r="K93" s="13">
        <f t="shared" si="22"/>
        <v>1200000</v>
      </c>
      <c r="L93" s="25"/>
      <c r="M93" s="23">
        <v>0</v>
      </c>
      <c r="N93" s="24" t="s">
        <v>2297</v>
      </c>
    </row>
    <row r="94" spans="1:14" outlineLevel="2">
      <c r="A94" s="16" t="s">
        <v>86</v>
      </c>
      <c r="B94" s="16" t="s">
        <v>103</v>
      </c>
      <c r="C94" s="16" t="s">
        <v>2292</v>
      </c>
      <c r="D94" s="16" t="s">
        <v>2296</v>
      </c>
      <c r="E94" s="16" t="s">
        <v>2300</v>
      </c>
      <c r="F94" s="16" t="s">
        <v>15</v>
      </c>
      <c r="G94" s="13">
        <v>14500000</v>
      </c>
      <c r="H94" s="13">
        <v>7175810</v>
      </c>
      <c r="I94" s="13">
        <f t="shared" si="23"/>
        <v>7324190</v>
      </c>
      <c r="J94" s="13">
        <v>340000</v>
      </c>
      <c r="K94" s="13">
        <f t="shared" si="22"/>
        <v>14160000</v>
      </c>
      <c r="L94" s="25"/>
      <c r="M94" s="23">
        <v>0</v>
      </c>
      <c r="N94" s="24" t="s">
        <v>2297</v>
      </c>
    </row>
    <row r="95" spans="1:14" outlineLevel="2">
      <c r="A95" s="16" t="s">
        <v>86</v>
      </c>
      <c r="B95" s="16" t="s">
        <v>103</v>
      </c>
      <c r="C95" s="16" t="s">
        <v>2292</v>
      </c>
      <c r="D95" s="16" t="s">
        <v>105</v>
      </c>
      <c r="E95" s="16" t="s">
        <v>212</v>
      </c>
      <c r="F95" s="16" t="s">
        <v>14</v>
      </c>
      <c r="G95" s="13">
        <v>250000</v>
      </c>
      <c r="H95" s="13">
        <v>0</v>
      </c>
      <c r="I95" s="13">
        <f t="shared" si="23"/>
        <v>250000</v>
      </c>
      <c r="J95" s="13">
        <v>0</v>
      </c>
      <c r="K95" s="13">
        <f t="shared" si="22"/>
        <v>250000</v>
      </c>
      <c r="L95" s="25"/>
      <c r="M95" s="23">
        <v>0</v>
      </c>
      <c r="N95" s="24" t="s">
        <v>2301</v>
      </c>
    </row>
    <row r="96" spans="1:14" outlineLevel="2">
      <c r="A96" s="16" t="s">
        <v>86</v>
      </c>
      <c r="B96" s="16" t="s">
        <v>103</v>
      </c>
      <c r="C96" s="16" t="s">
        <v>2292</v>
      </c>
      <c r="D96" s="16" t="s">
        <v>105</v>
      </c>
      <c r="E96" s="16" t="s">
        <v>2302</v>
      </c>
      <c r="F96" s="16" t="s">
        <v>14</v>
      </c>
      <c r="G96" s="13">
        <v>500000</v>
      </c>
      <c r="H96" s="13">
        <v>0</v>
      </c>
      <c r="I96" s="13">
        <f t="shared" si="23"/>
        <v>500000</v>
      </c>
      <c r="J96" s="13">
        <v>0</v>
      </c>
      <c r="K96" s="13">
        <f t="shared" si="22"/>
        <v>500000</v>
      </c>
      <c r="L96" s="25"/>
      <c r="M96" s="23">
        <v>0</v>
      </c>
      <c r="N96" s="24" t="s">
        <v>2301</v>
      </c>
    </row>
    <row r="97" spans="1:14" outlineLevel="2">
      <c r="A97" s="16" t="s">
        <v>86</v>
      </c>
      <c r="B97" s="16" t="s">
        <v>103</v>
      </c>
      <c r="C97" s="16" t="s">
        <v>2292</v>
      </c>
      <c r="D97" s="16" t="s">
        <v>105</v>
      </c>
      <c r="E97" s="16" t="s">
        <v>106</v>
      </c>
      <c r="F97" s="16" t="s">
        <v>107</v>
      </c>
      <c r="G97" s="13">
        <v>240000</v>
      </c>
      <c r="H97" s="13">
        <v>60000</v>
      </c>
      <c r="I97" s="13">
        <f t="shared" si="23"/>
        <v>180000</v>
      </c>
      <c r="J97" s="13">
        <v>60000</v>
      </c>
      <c r="K97" s="13">
        <f t="shared" si="22"/>
        <v>180000</v>
      </c>
      <c r="L97" s="25"/>
      <c r="M97" s="23">
        <v>0</v>
      </c>
      <c r="N97" s="24" t="s">
        <v>2301</v>
      </c>
    </row>
    <row r="98" spans="1:14" outlineLevel="2">
      <c r="A98" s="16" t="s">
        <v>86</v>
      </c>
      <c r="B98" s="16" t="s">
        <v>103</v>
      </c>
      <c r="C98" s="16" t="s">
        <v>2292</v>
      </c>
      <c r="D98" s="16" t="s">
        <v>214</v>
      </c>
      <c r="E98" s="16" t="s">
        <v>2303</v>
      </c>
      <c r="F98" s="16" t="s">
        <v>15</v>
      </c>
      <c r="G98" s="13">
        <v>5400000</v>
      </c>
      <c r="H98" s="13">
        <v>906260</v>
      </c>
      <c r="I98" s="13">
        <f t="shared" si="23"/>
        <v>4493740</v>
      </c>
      <c r="J98" s="13">
        <v>372780</v>
      </c>
      <c r="K98" s="13">
        <f t="shared" si="22"/>
        <v>5027220</v>
      </c>
      <c r="L98" s="25"/>
      <c r="M98" s="23">
        <v>0</v>
      </c>
      <c r="N98" s="24" t="s">
        <v>2304</v>
      </c>
    </row>
    <row r="99" spans="1:14" outlineLevel="2">
      <c r="A99" s="16" t="s">
        <v>86</v>
      </c>
      <c r="B99" s="16" t="s">
        <v>103</v>
      </c>
      <c r="C99" s="16" t="s">
        <v>2292</v>
      </c>
      <c r="D99" s="16" t="s">
        <v>214</v>
      </c>
      <c r="E99" s="16" t="s">
        <v>2305</v>
      </c>
      <c r="F99" s="16" t="s">
        <v>15</v>
      </c>
      <c r="G99" s="13">
        <v>1200000</v>
      </c>
      <c r="H99" s="13">
        <v>239260</v>
      </c>
      <c r="I99" s="13">
        <f t="shared" si="23"/>
        <v>960740</v>
      </c>
      <c r="J99" s="13">
        <v>239260</v>
      </c>
      <c r="K99" s="13">
        <f t="shared" si="22"/>
        <v>960740</v>
      </c>
      <c r="L99" s="25"/>
      <c r="M99" s="23">
        <v>0</v>
      </c>
      <c r="N99" s="24" t="s">
        <v>2304</v>
      </c>
    </row>
    <row r="100" spans="1:14" outlineLevel="2">
      <c r="A100" s="16" t="s">
        <v>86</v>
      </c>
      <c r="B100" s="16" t="s">
        <v>103</v>
      </c>
      <c r="C100" s="16" t="s">
        <v>2292</v>
      </c>
      <c r="D100" s="16" t="s">
        <v>214</v>
      </c>
      <c r="E100" s="16" t="s">
        <v>2306</v>
      </c>
      <c r="F100" s="16" t="s">
        <v>15</v>
      </c>
      <c r="G100" s="13">
        <v>500000</v>
      </c>
      <c r="H100" s="13">
        <v>0</v>
      </c>
      <c r="I100" s="13">
        <f t="shared" si="23"/>
        <v>500000</v>
      </c>
      <c r="J100" s="13">
        <v>0</v>
      </c>
      <c r="K100" s="13">
        <f t="shared" si="22"/>
        <v>500000</v>
      </c>
      <c r="L100" s="25"/>
      <c r="M100" s="23">
        <v>0</v>
      </c>
      <c r="N100" s="24" t="s">
        <v>2304</v>
      </c>
    </row>
    <row r="101" spans="1:14" outlineLevel="2">
      <c r="A101" s="16" t="s">
        <v>86</v>
      </c>
      <c r="B101" s="16" t="s">
        <v>103</v>
      </c>
      <c r="C101" s="16" t="s">
        <v>2292</v>
      </c>
      <c r="D101" s="16" t="s">
        <v>214</v>
      </c>
      <c r="E101" s="16" t="s">
        <v>2307</v>
      </c>
      <c r="F101" s="16" t="s">
        <v>14</v>
      </c>
      <c r="G101" s="13">
        <v>1200000</v>
      </c>
      <c r="H101" s="13">
        <v>79000</v>
      </c>
      <c r="I101" s="13">
        <f t="shared" si="23"/>
        <v>1121000</v>
      </c>
      <c r="J101" s="13">
        <v>0</v>
      </c>
      <c r="K101" s="13">
        <f t="shared" si="22"/>
        <v>1200000</v>
      </c>
      <c r="L101" s="25"/>
      <c r="M101" s="23">
        <v>0</v>
      </c>
      <c r="N101" s="24" t="s">
        <v>2304</v>
      </c>
    </row>
    <row r="102" spans="1:14" outlineLevel="2">
      <c r="A102" s="16" t="s">
        <v>86</v>
      </c>
      <c r="B102" s="16" t="s">
        <v>103</v>
      </c>
      <c r="C102" s="16" t="s">
        <v>2292</v>
      </c>
      <c r="D102" s="16" t="s">
        <v>108</v>
      </c>
      <c r="E102" s="16" t="s">
        <v>2308</v>
      </c>
      <c r="F102" s="16" t="s">
        <v>15</v>
      </c>
      <c r="G102" s="13">
        <v>461000</v>
      </c>
      <c r="H102" s="13">
        <v>555000</v>
      </c>
      <c r="I102" s="13">
        <f t="shared" si="23"/>
        <v>-94000</v>
      </c>
      <c r="J102" s="13">
        <v>56520</v>
      </c>
      <c r="K102" s="13">
        <f t="shared" si="22"/>
        <v>404480</v>
      </c>
      <c r="L102" s="25"/>
      <c r="M102" s="23">
        <v>0</v>
      </c>
      <c r="N102" s="24" t="s">
        <v>2309</v>
      </c>
    </row>
    <row r="103" spans="1:14" outlineLevel="2">
      <c r="A103" s="16" t="s">
        <v>86</v>
      </c>
      <c r="B103" s="16" t="s">
        <v>103</v>
      </c>
      <c r="C103" s="16" t="s">
        <v>2292</v>
      </c>
      <c r="D103" s="16" t="s">
        <v>108</v>
      </c>
      <c r="E103" s="16" t="s">
        <v>2310</v>
      </c>
      <c r="F103" s="16" t="s">
        <v>44</v>
      </c>
      <c r="G103" s="13">
        <v>1800000</v>
      </c>
      <c r="H103" s="13">
        <v>40000</v>
      </c>
      <c r="I103" s="13">
        <f t="shared" si="23"/>
        <v>1760000</v>
      </c>
      <c r="J103" s="13">
        <v>40000</v>
      </c>
      <c r="K103" s="13">
        <f t="shared" si="22"/>
        <v>1760000</v>
      </c>
      <c r="L103" s="25"/>
      <c r="M103" s="23">
        <v>0</v>
      </c>
      <c r="N103" s="24" t="s">
        <v>2309</v>
      </c>
    </row>
    <row r="104" spans="1:14" outlineLevel="2">
      <c r="A104" s="16" t="s">
        <v>86</v>
      </c>
      <c r="B104" s="16" t="s">
        <v>103</v>
      </c>
      <c r="C104" s="16" t="s">
        <v>2292</v>
      </c>
      <c r="D104" s="16" t="s">
        <v>108</v>
      </c>
      <c r="E104" s="16" t="s">
        <v>213</v>
      </c>
      <c r="F104" s="16" t="s">
        <v>14</v>
      </c>
      <c r="G104" s="13">
        <v>400000</v>
      </c>
      <c r="H104" s="13">
        <v>150982</v>
      </c>
      <c r="I104" s="13">
        <f t="shared" si="23"/>
        <v>249018</v>
      </c>
      <c r="J104" s="13">
        <v>0</v>
      </c>
      <c r="K104" s="13">
        <f t="shared" si="22"/>
        <v>400000</v>
      </c>
      <c r="L104" s="25"/>
      <c r="M104" s="23">
        <v>0</v>
      </c>
      <c r="N104" s="24" t="s">
        <v>2309</v>
      </c>
    </row>
    <row r="105" spans="1:14" outlineLevel="2">
      <c r="A105" s="16" t="s">
        <v>86</v>
      </c>
      <c r="B105" s="16" t="s">
        <v>103</v>
      </c>
      <c r="C105" s="16" t="s">
        <v>2292</v>
      </c>
      <c r="D105" s="16" t="s">
        <v>108</v>
      </c>
      <c r="E105" s="16" t="s">
        <v>2311</v>
      </c>
      <c r="F105" s="16" t="s">
        <v>14</v>
      </c>
      <c r="G105" s="13">
        <v>360000</v>
      </c>
      <c r="H105" s="13">
        <v>0</v>
      </c>
      <c r="I105" s="13">
        <f t="shared" si="23"/>
        <v>360000</v>
      </c>
      <c r="J105" s="13">
        <v>0</v>
      </c>
      <c r="K105" s="13">
        <f t="shared" ref="K105" si="24">G105-J105</f>
        <v>360000</v>
      </c>
      <c r="L105" s="25"/>
      <c r="M105" s="23">
        <v>0</v>
      </c>
      <c r="N105" s="24" t="s">
        <v>2309</v>
      </c>
    </row>
    <row r="106" spans="1:14" outlineLevel="1">
      <c r="A106" s="3"/>
      <c r="B106" s="3"/>
      <c r="C106" s="4" t="s">
        <v>2316</v>
      </c>
      <c r="D106" s="3"/>
      <c r="E106" s="3"/>
      <c r="F106" s="3"/>
      <c r="G106" s="6">
        <f>SUBTOTAL(9,G85:G105)</f>
        <v>79906000</v>
      </c>
      <c r="H106" s="6">
        <f>SUBTOTAL(9,H85:H105)</f>
        <v>36409762</v>
      </c>
      <c r="I106" s="6">
        <f>SUBTOTAL(9,I85:I105)</f>
        <v>43496238</v>
      </c>
      <c r="J106" s="6">
        <f>SUBTOTAL(9,J85:J105)</f>
        <v>8804790</v>
      </c>
      <c r="K106" s="6">
        <f>SUBTOTAL(9,K85:K105)</f>
        <v>71101210</v>
      </c>
      <c r="L106" s="26">
        <f t="shared" ref="L106:L107" si="25">K106/G106</f>
        <v>0.8898106525167071</v>
      </c>
      <c r="M106" s="12"/>
      <c r="N106" s="3"/>
    </row>
    <row r="107" spans="1:14">
      <c r="A107" s="3"/>
      <c r="B107" s="3"/>
      <c r="C107" s="4" t="s">
        <v>110</v>
      </c>
      <c r="D107" s="3"/>
      <c r="E107" s="3"/>
      <c r="F107" s="3"/>
      <c r="G107" s="6">
        <f>SUBTOTAL(9,G2:G105)</f>
        <v>231425000</v>
      </c>
      <c r="H107" s="6">
        <f>SUBTOTAL(9,H2:H105)</f>
        <v>93584872</v>
      </c>
      <c r="I107" s="6">
        <f>SUBTOTAL(9,I2:I105)</f>
        <v>137840128</v>
      </c>
      <c r="J107" s="6">
        <f>SUBTOTAL(9,J2:J105)</f>
        <v>53883310</v>
      </c>
      <c r="K107" s="6">
        <f>SUBTOTAL(9,K2:K105)</f>
        <v>177541690</v>
      </c>
      <c r="L107" s="26">
        <f t="shared" si="25"/>
        <v>0.76716728961866698</v>
      </c>
      <c r="M107" s="12"/>
      <c r="N107" s="3"/>
    </row>
  </sheetData>
  <autoFilter ref="A1:M1" xr:uid="{8A1971BD-FD5A-49C5-9AD6-4A50E07F55B7}"/>
  <mergeCells count="46">
    <mergeCell ref="M102:M105"/>
    <mergeCell ref="N102:N105"/>
    <mergeCell ref="M95:M97"/>
    <mergeCell ref="N95:N97"/>
    <mergeCell ref="M98:M101"/>
    <mergeCell ref="N98:N101"/>
    <mergeCell ref="N85:N89"/>
    <mergeCell ref="M90:M94"/>
    <mergeCell ref="N90:N94"/>
    <mergeCell ref="M82:M83"/>
    <mergeCell ref="N82:N83"/>
    <mergeCell ref="M85:M89"/>
    <mergeCell ref="M71:M73"/>
    <mergeCell ref="N71:N73"/>
    <mergeCell ref="N64:N66"/>
    <mergeCell ref="M67:M68"/>
    <mergeCell ref="N67:N68"/>
    <mergeCell ref="M64:M66"/>
    <mergeCell ref="N60:N61"/>
    <mergeCell ref="M60:M61"/>
    <mergeCell ref="M54:M55"/>
    <mergeCell ref="N54:N55"/>
    <mergeCell ref="M46:M47"/>
    <mergeCell ref="N46:N47"/>
    <mergeCell ref="M48:M53"/>
    <mergeCell ref="N48:N53"/>
    <mergeCell ref="N39:N42"/>
    <mergeCell ref="M43:M45"/>
    <mergeCell ref="N43:N45"/>
    <mergeCell ref="M36:M37"/>
    <mergeCell ref="N36:N37"/>
    <mergeCell ref="M39:M42"/>
    <mergeCell ref="M27:M30"/>
    <mergeCell ref="N27:N30"/>
    <mergeCell ref="M19:M20"/>
    <mergeCell ref="N19:N20"/>
    <mergeCell ref="M22:M23"/>
    <mergeCell ref="N22:N23"/>
    <mergeCell ref="M15:M16"/>
    <mergeCell ref="N15:N16"/>
    <mergeCell ref="M13:M14"/>
    <mergeCell ref="N13:N14"/>
    <mergeCell ref="M6:M8"/>
    <mergeCell ref="N6:N8"/>
    <mergeCell ref="M4:M5"/>
    <mergeCell ref="N4:N5"/>
  </mergeCells>
  <phoneticPr fontId="1" type="noConversion"/>
  <printOptions horizontalCentered="1"/>
  <pageMargins left="0.54" right="0.32" top="0.74803149606299213" bottom="0.51181102362204722" header="0.51181102362204722" footer="0.31496062992125984"/>
  <pageSetup paperSize="9" scale="60" fitToHeight="100" orientation="landscape" r:id="rId1"/>
  <headerFooter>
    <oddHeader>&amp;R&amp;F</oddHeader>
    <oddFooter>&amp;C&amp;N쪽-&amp;P쪽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7030A0"/>
    <pageSetUpPr fitToPage="1"/>
  </sheetPr>
  <dimension ref="A1:N108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6.5" outlineLevelRow="2"/>
  <cols>
    <col min="1" max="3" width="15.625" customWidth="1"/>
    <col min="4" max="4" width="18.625" customWidth="1"/>
    <col min="5" max="5" width="30.625" customWidth="1"/>
    <col min="6" max="8" width="11.625" customWidth="1"/>
    <col min="9" max="9" width="13.625" customWidth="1"/>
    <col min="10" max="13" width="11.625" customWidth="1"/>
    <col min="14" max="14" width="25" customWidth="1"/>
  </cols>
  <sheetData>
    <row r="1" spans="1:14" ht="17.25" thickTop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2185</v>
      </c>
      <c r="I1" s="5" t="s">
        <v>2186</v>
      </c>
      <c r="J1" s="5" t="s">
        <v>2187</v>
      </c>
      <c r="K1" s="5" t="s">
        <v>2188</v>
      </c>
      <c r="L1" s="7" t="s">
        <v>7</v>
      </c>
      <c r="M1" s="5" t="s">
        <v>8</v>
      </c>
      <c r="N1" s="10" t="s">
        <v>111</v>
      </c>
    </row>
    <row r="2" spans="1:14" outlineLevel="2">
      <c r="A2" s="16" t="s">
        <v>9</v>
      </c>
      <c r="B2" s="16" t="s">
        <v>10</v>
      </c>
      <c r="C2" s="16" t="s">
        <v>11</v>
      </c>
      <c r="D2" s="16" t="s">
        <v>112</v>
      </c>
      <c r="E2" s="16" t="s">
        <v>113</v>
      </c>
      <c r="F2" s="16" t="s">
        <v>12</v>
      </c>
      <c r="G2" s="13">
        <v>900000</v>
      </c>
      <c r="H2" s="13">
        <v>0</v>
      </c>
      <c r="I2" s="13">
        <f t="shared" ref="I2:I8" si="0">G2-H2</f>
        <v>900000</v>
      </c>
      <c r="J2" s="13">
        <v>0</v>
      </c>
      <c r="K2" s="13">
        <f t="shared" ref="K2:K20" si="1">G2-J2</f>
        <v>900000</v>
      </c>
      <c r="L2" s="14"/>
      <c r="M2" s="15">
        <v>0</v>
      </c>
      <c r="N2" s="16" t="s">
        <v>2189</v>
      </c>
    </row>
    <row r="3" spans="1:14" outlineLevel="2">
      <c r="A3" s="16" t="s">
        <v>9</v>
      </c>
      <c r="B3" s="16" t="s">
        <v>10</v>
      </c>
      <c r="C3" s="16" t="s">
        <v>11</v>
      </c>
      <c r="D3" s="16" t="s">
        <v>114</v>
      </c>
      <c r="E3" s="16" t="s">
        <v>2190</v>
      </c>
      <c r="F3" s="16" t="s">
        <v>25</v>
      </c>
      <c r="G3" s="13">
        <v>500000</v>
      </c>
      <c r="H3" s="13">
        <v>0</v>
      </c>
      <c r="I3" s="13">
        <f t="shared" si="0"/>
        <v>500000</v>
      </c>
      <c r="J3" s="13">
        <v>0</v>
      </c>
      <c r="K3" s="13">
        <f t="shared" si="1"/>
        <v>500000</v>
      </c>
      <c r="L3" s="14"/>
      <c r="M3" s="15">
        <v>0</v>
      </c>
      <c r="N3" s="16" t="s">
        <v>2191</v>
      </c>
    </row>
    <row r="4" spans="1:14" outlineLevel="2">
      <c r="A4" s="16" t="s">
        <v>9</v>
      </c>
      <c r="B4" s="16" t="s">
        <v>10</v>
      </c>
      <c r="C4" s="16" t="s">
        <v>11</v>
      </c>
      <c r="D4" s="16" t="s">
        <v>2192</v>
      </c>
      <c r="E4" s="16" t="s">
        <v>2193</v>
      </c>
      <c r="F4" s="16" t="s">
        <v>15</v>
      </c>
      <c r="G4" s="13">
        <v>160000</v>
      </c>
      <c r="H4" s="13">
        <v>0</v>
      </c>
      <c r="I4" s="13">
        <f t="shared" si="0"/>
        <v>160000</v>
      </c>
      <c r="J4" s="13">
        <v>0</v>
      </c>
      <c r="K4" s="13">
        <f t="shared" si="1"/>
        <v>160000</v>
      </c>
      <c r="L4" s="14"/>
      <c r="M4" s="23">
        <v>0</v>
      </c>
      <c r="N4" s="24" t="s">
        <v>2194</v>
      </c>
    </row>
    <row r="5" spans="1:14" outlineLevel="2">
      <c r="A5" s="16" t="s">
        <v>9</v>
      </c>
      <c r="B5" s="16" t="s">
        <v>10</v>
      </c>
      <c r="C5" s="16" t="s">
        <v>11</v>
      </c>
      <c r="D5" s="16" t="s">
        <v>2192</v>
      </c>
      <c r="E5" s="16" t="s">
        <v>2195</v>
      </c>
      <c r="F5" s="16" t="s">
        <v>25</v>
      </c>
      <c r="G5" s="13">
        <v>0</v>
      </c>
      <c r="H5" s="13">
        <v>50000</v>
      </c>
      <c r="I5" s="13">
        <f t="shared" si="0"/>
        <v>-50000</v>
      </c>
      <c r="J5" s="13">
        <v>50000</v>
      </c>
      <c r="K5" s="13">
        <f t="shared" si="1"/>
        <v>-50000</v>
      </c>
      <c r="L5" s="14"/>
      <c r="M5" s="23">
        <v>0</v>
      </c>
      <c r="N5" s="24" t="s">
        <v>2194</v>
      </c>
    </row>
    <row r="6" spans="1:14" outlineLevel="2">
      <c r="A6" s="16" t="s">
        <v>9</v>
      </c>
      <c r="B6" s="16" t="s">
        <v>10</v>
      </c>
      <c r="C6" s="16" t="s">
        <v>11</v>
      </c>
      <c r="D6" s="16" t="s">
        <v>115</v>
      </c>
      <c r="E6" s="16" t="s">
        <v>2196</v>
      </c>
      <c r="F6" s="16" t="s">
        <v>15</v>
      </c>
      <c r="G6" s="13">
        <v>230000</v>
      </c>
      <c r="H6" s="13">
        <v>0</v>
      </c>
      <c r="I6" s="13">
        <f t="shared" si="0"/>
        <v>230000</v>
      </c>
      <c r="J6" s="13">
        <v>0</v>
      </c>
      <c r="K6" s="13">
        <f t="shared" si="1"/>
        <v>230000</v>
      </c>
      <c r="L6" s="14"/>
      <c r="M6" s="23">
        <v>0</v>
      </c>
      <c r="N6" s="24" t="s">
        <v>2197</v>
      </c>
    </row>
    <row r="7" spans="1:14" outlineLevel="2">
      <c r="A7" s="16" t="s">
        <v>9</v>
      </c>
      <c r="B7" s="16" t="s">
        <v>10</v>
      </c>
      <c r="C7" s="16" t="s">
        <v>11</v>
      </c>
      <c r="D7" s="16" t="s">
        <v>115</v>
      </c>
      <c r="E7" s="16" t="s">
        <v>2198</v>
      </c>
      <c r="F7" s="16" t="s">
        <v>25</v>
      </c>
      <c r="G7" s="13">
        <v>300000</v>
      </c>
      <c r="H7" s="13">
        <v>0</v>
      </c>
      <c r="I7" s="13">
        <f t="shared" si="0"/>
        <v>300000</v>
      </c>
      <c r="J7" s="13">
        <v>0</v>
      </c>
      <c r="K7" s="13">
        <f t="shared" si="1"/>
        <v>300000</v>
      </c>
      <c r="L7" s="14"/>
      <c r="M7" s="23">
        <v>0</v>
      </c>
      <c r="N7" s="24" t="s">
        <v>2197</v>
      </c>
    </row>
    <row r="8" spans="1:14" outlineLevel="2">
      <c r="A8" s="16" t="s">
        <v>9</v>
      </c>
      <c r="B8" s="16" t="s">
        <v>10</v>
      </c>
      <c r="C8" s="16" t="s">
        <v>11</v>
      </c>
      <c r="D8" s="16" t="s">
        <v>115</v>
      </c>
      <c r="E8" s="16" t="s">
        <v>2199</v>
      </c>
      <c r="F8" s="16" t="s">
        <v>14</v>
      </c>
      <c r="G8" s="13">
        <v>70000</v>
      </c>
      <c r="H8" s="13">
        <v>0</v>
      </c>
      <c r="I8" s="13">
        <f t="shared" si="0"/>
        <v>70000</v>
      </c>
      <c r="J8" s="13">
        <v>0</v>
      </c>
      <c r="K8" s="13">
        <f t="shared" si="1"/>
        <v>70000</v>
      </c>
      <c r="L8" s="14"/>
      <c r="M8" s="23">
        <v>0</v>
      </c>
      <c r="N8" s="24" t="s">
        <v>2197</v>
      </c>
    </row>
    <row r="9" spans="1:14" outlineLevel="1">
      <c r="A9" s="3"/>
      <c r="B9" s="3"/>
      <c r="C9" s="4" t="s">
        <v>16</v>
      </c>
      <c r="D9" s="3"/>
      <c r="E9" s="3"/>
      <c r="F9" s="3"/>
      <c r="G9" s="6">
        <f>SUBTOTAL(9,G2:G8)</f>
        <v>2160000</v>
      </c>
      <c r="H9" s="6">
        <f>SUBTOTAL(9,H2:H8)</f>
        <v>50000</v>
      </c>
      <c r="I9" s="6">
        <f>SUBTOTAL(9,I2:I8)</f>
        <v>2110000</v>
      </c>
      <c r="J9" s="6">
        <f>SUBTOTAL(9,J2:J8)</f>
        <v>50000</v>
      </c>
      <c r="K9" s="6">
        <f>SUBTOTAL(9,K2:K8)</f>
        <v>2110000</v>
      </c>
      <c r="L9" s="8">
        <f>SUBTOTAL(9,L2:L8)</f>
        <v>0</v>
      </c>
      <c r="M9" s="12"/>
      <c r="N9" s="3"/>
    </row>
    <row r="10" spans="1:14" outlineLevel="2">
      <c r="A10" s="16" t="s">
        <v>9</v>
      </c>
      <c r="B10" s="16" t="s">
        <v>10</v>
      </c>
      <c r="C10" s="16" t="s">
        <v>17</v>
      </c>
      <c r="D10" s="16" t="s">
        <v>117</v>
      </c>
      <c r="E10" s="16" t="s">
        <v>117</v>
      </c>
      <c r="F10" s="16" t="s">
        <v>15</v>
      </c>
      <c r="G10" s="13">
        <v>420000</v>
      </c>
      <c r="H10" s="13">
        <v>0</v>
      </c>
      <c r="I10" s="13">
        <f t="shared" ref="I10:I11" si="2">G10-H10</f>
        <v>420000</v>
      </c>
      <c r="J10" s="13">
        <v>0</v>
      </c>
      <c r="K10" s="13">
        <f t="shared" si="1"/>
        <v>420000</v>
      </c>
      <c r="L10" s="14"/>
      <c r="M10" s="15">
        <v>0</v>
      </c>
      <c r="N10" s="16" t="s">
        <v>2189</v>
      </c>
    </row>
    <row r="11" spans="1:14" outlineLevel="2">
      <c r="A11" s="16" t="s">
        <v>9</v>
      </c>
      <c r="B11" s="16" t="s">
        <v>10</v>
      </c>
      <c r="C11" s="16" t="s">
        <v>17</v>
      </c>
      <c r="D11" s="16" t="s">
        <v>118</v>
      </c>
      <c r="E11" s="16" t="s">
        <v>2200</v>
      </c>
      <c r="F11" s="16" t="s">
        <v>15</v>
      </c>
      <c r="G11" s="13">
        <v>970000</v>
      </c>
      <c r="H11" s="13">
        <v>0</v>
      </c>
      <c r="I11" s="13">
        <f t="shared" si="2"/>
        <v>970000</v>
      </c>
      <c r="J11" s="13">
        <v>0</v>
      </c>
      <c r="K11" s="13">
        <f t="shared" si="1"/>
        <v>970000</v>
      </c>
      <c r="L11" s="14"/>
      <c r="M11" s="15">
        <v>0</v>
      </c>
      <c r="N11" s="16" t="s">
        <v>2189</v>
      </c>
    </row>
    <row r="12" spans="1:14" outlineLevel="1">
      <c r="A12" s="3"/>
      <c r="B12" s="3"/>
      <c r="C12" s="4" t="s">
        <v>20</v>
      </c>
      <c r="D12" s="3"/>
      <c r="E12" s="3"/>
      <c r="F12" s="3"/>
      <c r="G12" s="6">
        <f>SUBTOTAL(9,G10:G11)</f>
        <v>1390000</v>
      </c>
      <c r="H12" s="6">
        <f>SUBTOTAL(9,H10:H11)</f>
        <v>0</v>
      </c>
      <c r="I12" s="6">
        <f>SUBTOTAL(9,I10:I11)</f>
        <v>1390000</v>
      </c>
      <c r="J12" s="6">
        <f>SUBTOTAL(9,J10:J11)</f>
        <v>0</v>
      </c>
      <c r="K12" s="6">
        <f>SUBTOTAL(9,K10:K11)</f>
        <v>1390000</v>
      </c>
      <c r="L12" s="8">
        <f>SUBTOTAL(9,L10:L11)</f>
        <v>0</v>
      </c>
      <c r="M12" s="12"/>
      <c r="N12" s="3"/>
    </row>
    <row r="13" spans="1:14" outlineLevel="2">
      <c r="A13" s="16" t="s">
        <v>9</v>
      </c>
      <c r="B13" s="16" t="s">
        <v>21</v>
      </c>
      <c r="C13" s="16" t="s">
        <v>22</v>
      </c>
      <c r="D13" s="16" t="s">
        <v>23</v>
      </c>
      <c r="E13" s="16" t="s">
        <v>2201</v>
      </c>
      <c r="F13" s="16" t="s">
        <v>122</v>
      </c>
      <c r="G13" s="13">
        <v>155000</v>
      </c>
      <c r="H13" s="13">
        <v>155000</v>
      </c>
      <c r="I13" s="13">
        <f t="shared" ref="I13:I16" si="3">G13-H13</f>
        <v>0</v>
      </c>
      <c r="J13" s="13">
        <v>155000</v>
      </c>
      <c r="K13" s="13">
        <f t="shared" si="1"/>
        <v>0</v>
      </c>
      <c r="L13" s="14"/>
      <c r="M13" s="23">
        <v>7395000</v>
      </c>
      <c r="N13" s="24" t="s">
        <v>2202</v>
      </c>
    </row>
    <row r="14" spans="1:14" outlineLevel="2">
      <c r="A14" s="16" t="s">
        <v>9</v>
      </c>
      <c r="B14" s="16" t="s">
        <v>21</v>
      </c>
      <c r="C14" s="16" t="s">
        <v>22</v>
      </c>
      <c r="D14" s="16" t="s">
        <v>23</v>
      </c>
      <c r="E14" s="16" t="s">
        <v>2203</v>
      </c>
      <c r="F14" s="16" t="s">
        <v>24</v>
      </c>
      <c r="G14" s="13">
        <v>7240000</v>
      </c>
      <c r="H14" s="13">
        <v>3712070</v>
      </c>
      <c r="I14" s="13">
        <f t="shared" si="3"/>
        <v>3527930</v>
      </c>
      <c r="J14" s="13">
        <v>3712070</v>
      </c>
      <c r="K14" s="13">
        <f t="shared" si="1"/>
        <v>3527930</v>
      </c>
      <c r="L14" s="14"/>
      <c r="M14" s="23">
        <v>7395000</v>
      </c>
      <c r="N14" s="24" t="s">
        <v>2202</v>
      </c>
    </row>
    <row r="15" spans="1:14" outlineLevel="2">
      <c r="A15" s="16" t="s">
        <v>9</v>
      </c>
      <c r="B15" s="16" t="s">
        <v>21</v>
      </c>
      <c r="C15" s="16" t="s">
        <v>22</v>
      </c>
      <c r="D15" s="16" t="s">
        <v>2204</v>
      </c>
      <c r="E15" s="16" t="s">
        <v>119</v>
      </c>
      <c r="F15" s="16" t="s">
        <v>120</v>
      </c>
      <c r="G15" s="13">
        <v>12621000</v>
      </c>
      <c r="H15" s="13">
        <v>11705010</v>
      </c>
      <c r="I15" s="13">
        <f t="shared" si="3"/>
        <v>915990</v>
      </c>
      <c r="J15" s="13">
        <v>11705010</v>
      </c>
      <c r="K15" s="13">
        <f t="shared" si="1"/>
        <v>915990</v>
      </c>
      <c r="L15" s="14"/>
      <c r="M15" s="23">
        <v>12621000</v>
      </c>
      <c r="N15" s="24" t="s">
        <v>2205</v>
      </c>
    </row>
    <row r="16" spans="1:14" outlineLevel="2">
      <c r="A16" s="16" t="s">
        <v>9</v>
      </c>
      <c r="B16" s="16" t="s">
        <v>21</v>
      </c>
      <c r="C16" s="16" t="s">
        <v>22</v>
      </c>
      <c r="D16" s="16" t="s">
        <v>2204</v>
      </c>
      <c r="E16" s="16" t="s">
        <v>2206</v>
      </c>
      <c r="F16" s="16" t="s">
        <v>151</v>
      </c>
      <c r="G16" s="13">
        <v>500000</v>
      </c>
      <c r="H16" s="13">
        <v>0</v>
      </c>
      <c r="I16" s="13">
        <f t="shared" si="3"/>
        <v>500000</v>
      </c>
      <c r="J16" s="13">
        <v>0</v>
      </c>
      <c r="K16" s="13">
        <f t="shared" si="1"/>
        <v>500000</v>
      </c>
      <c r="L16" s="14"/>
      <c r="M16" s="23">
        <v>12621000</v>
      </c>
      <c r="N16" s="24" t="s">
        <v>2205</v>
      </c>
    </row>
    <row r="17" spans="1:14" outlineLevel="1">
      <c r="A17" s="3"/>
      <c r="B17" s="3"/>
      <c r="C17" s="4" t="s">
        <v>26</v>
      </c>
      <c r="D17" s="3"/>
      <c r="E17" s="3"/>
      <c r="F17" s="3"/>
      <c r="G17" s="6">
        <f>SUBTOTAL(9,G13:G16)</f>
        <v>20516000</v>
      </c>
      <c r="H17" s="6">
        <f>SUBTOTAL(9,H13:H16)</f>
        <v>15572080</v>
      </c>
      <c r="I17" s="6">
        <f>SUBTOTAL(9,I13:I16)</f>
        <v>4943920</v>
      </c>
      <c r="J17" s="6">
        <f>SUBTOTAL(9,J13:J16)</f>
        <v>15572080</v>
      </c>
      <c r="K17" s="6">
        <f>SUBTOTAL(9,K13:K16)</f>
        <v>4943920</v>
      </c>
      <c r="L17" s="8">
        <f>SUBTOTAL(9,L13:L16)</f>
        <v>0</v>
      </c>
      <c r="M17" s="12"/>
      <c r="N17" s="3"/>
    </row>
    <row r="18" spans="1:14" outlineLevel="2">
      <c r="A18" s="16" t="s">
        <v>27</v>
      </c>
      <c r="B18" s="16" t="s">
        <v>33</v>
      </c>
      <c r="C18" s="16" t="s">
        <v>2207</v>
      </c>
      <c r="D18" s="16" t="s">
        <v>2208</v>
      </c>
      <c r="E18" s="16" t="s">
        <v>2209</v>
      </c>
      <c r="F18" s="16" t="s">
        <v>34</v>
      </c>
      <c r="G18" s="13">
        <v>200000</v>
      </c>
      <c r="H18" s="13">
        <v>0</v>
      </c>
      <c r="I18" s="13">
        <f t="shared" ref="I18:I20" si="4">G18-H18</f>
        <v>200000</v>
      </c>
      <c r="J18" s="13">
        <v>0</v>
      </c>
      <c r="K18" s="13">
        <f t="shared" si="1"/>
        <v>200000</v>
      </c>
      <c r="L18" s="14"/>
      <c r="M18" s="15">
        <v>0</v>
      </c>
      <c r="N18" s="16" t="s">
        <v>2210</v>
      </c>
    </row>
    <row r="19" spans="1:14" outlineLevel="2">
      <c r="A19" s="16" t="s">
        <v>27</v>
      </c>
      <c r="B19" s="16" t="s">
        <v>33</v>
      </c>
      <c r="C19" s="16" t="s">
        <v>2207</v>
      </c>
      <c r="D19" s="16" t="s">
        <v>36</v>
      </c>
      <c r="E19" s="16" t="s">
        <v>134</v>
      </c>
      <c r="F19" s="16" t="s">
        <v>12</v>
      </c>
      <c r="G19" s="13">
        <v>50000</v>
      </c>
      <c r="H19" s="13">
        <v>50000</v>
      </c>
      <c r="I19" s="13">
        <f t="shared" si="4"/>
        <v>0</v>
      </c>
      <c r="J19" s="13">
        <v>0</v>
      </c>
      <c r="K19" s="13">
        <f t="shared" si="1"/>
        <v>50000</v>
      </c>
      <c r="L19" s="14"/>
      <c r="M19" s="23">
        <v>0</v>
      </c>
      <c r="N19" s="24" t="s">
        <v>2211</v>
      </c>
    </row>
    <row r="20" spans="1:14" outlineLevel="2">
      <c r="A20" s="16" t="s">
        <v>27</v>
      </c>
      <c r="B20" s="16" t="s">
        <v>33</v>
      </c>
      <c r="C20" s="16" t="s">
        <v>2207</v>
      </c>
      <c r="D20" s="16" t="s">
        <v>36</v>
      </c>
      <c r="E20" s="16" t="s">
        <v>2212</v>
      </c>
      <c r="F20" s="16" t="s">
        <v>34</v>
      </c>
      <c r="G20" s="13">
        <v>1000000</v>
      </c>
      <c r="H20" s="13">
        <v>0</v>
      </c>
      <c r="I20" s="13">
        <f t="shared" si="4"/>
        <v>1000000</v>
      </c>
      <c r="J20" s="13">
        <v>0</v>
      </c>
      <c r="K20" s="13">
        <f t="shared" si="1"/>
        <v>1000000</v>
      </c>
      <c r="L20" s="14"/>
      <c r="M20" s="23">
        <v>0</v>
      </c>
      <c r="N20" s="24" t="s">
        <v>2211</v>
      </c>
    </row>
    <row r="21" spans="1:14" outlineLevel="1">
      <c r="A21" s="3"/>
      <c r="B21" s="3"/>
      <c r="C21" s="4" t="s">
        <v>2312</v>
      </c>
      <c r="D21" s="3"/>
      <c r="E21" s="3"/>
      <c r="F21" s="3"/>
      <c r="G21" s="6">
        <f>SUBTOTAL(9,G18:G20)</f>
        <v>1250000</v>
      </c>
      <c r="H21" s="6">
        <f>SUBTOTAL(9,H18:H20)</f>
        <v>50000</v>
      </c>
      <c r="I21" s="6">
        <f>SUBTOTAL(9,I18:I20)</f>
        <v>1200000</v>
      </c>
      <c r="J21" s="6">
        <f>SUBTOTAL(9,J18:J20)</f>
        <v>0</v>
      </c>
      <c r="K21" s="6">
        <f>SUBTOTAL(9,K18:K20)</f>
        <v>1250000</v>
      </c>
      <c r="L21" s="8">
        <f>SUBTOTAL(9,L18:L20)</f>
        <v>0</v>
      </c>
      <c r="M21" s="12"/>
      <c r="N21" s="3"/>
    </row>
    <row r="22" spans="1:14" outlineLevel="2">
      <c r="A22" s="16" t="s">
        <v>27</v>
      </c>
      <c r="B22" s="16" t="s">
        <v>33</v>
      </c>
      <c r="C22" s="16" t="s">
        <v>38</v>
      </c>
      <c r="D22" s="16" t="s">
        <v>39</v>
      </c>
      <c r="E22" s="16" t="s">
        <v>2213</v>
      </c>
      <c r="F22" s="16" t="s">
        <v>15</v>
      </c>
      <c r="G22" s="13">
        <v>1470000</v>
      </c>
      <c r="H22" s="13">
        <v>349800</v>
      </c>
      <c r="I22" s="13">
        <f t="shared" ref="I22:I25" si="5">G22-H22</f>
        <v>1120200</v>
      </c>
      <c r="J22" s="13">
        <v>349800</v>
      </c>
      <c r="K22" s="13">
        <f t="shared" ref="K22:K41" si="6">G22-J22</f>
        <v>1120200</v>
      </c>
      <c r="L22" s="14"/>
      <c r="M22" s="23">
        <v>0</v>
      </c>
      <c r="N22" s="24" t="s">
        <v>2214</v>
      </c>
    </row>
    <row r="23" spans="1:14" outlineLevel="2">
      <c r="A23" s="16" t="s">
        <v>27</v>
      </c>
      <c r="B23" s="16" t="s">
        <v>33</v>
      </c>
      <c r="C23" s="16" t="s">
        <v>38</v>
      </c>
      <c r="D23" s="16" t="s">
        <v>39</v>
      </c>
      <c r="E23" s="16" t="s">
        <v>2215</v>
      </c>
      <c r="F23" s="16" t="s">
        <v>15</v>
      </c>
      <c r="G23" s="13">
        <v>300000</v>
      </c>
      <c r="H23" s="13">
        <v>0</v>
      </c>
      <c r="I23" s="13">
        <f t="shared" si="5"/>
        <v>300000</v>
      </c>
      <c r="J23" s="13">
        <v>0</v>
      </c>
      <c r="K23" s="13">
        <f t="shared" si="6"/>
        <v>300000</v>
      </c>
      <c r="L23" s="14"/>
      <c r="M23" s="23">
        <v>0</v>
      </c>
      <c r="N23" s="24" t="s">
        <v>2214</v>
      </c>
    </row>
    <row r="24" spans="1:14" outlineLevel="2">
      <c r="A24" s="16" t="s">
        <v>27</v>
      </c>
      <c r="B24" s="16" t="s">
        <v>33</v>
      </c>
      <c r="C24" s="16" t="s">
        <v>38</v>
      </c>
      <c r="D24" s="16" t="s">
        <v>40</v>
      </c>
      <c r="E24" s="16" t="s">
        <v>2216</v>
      </c>
      <c r="F24" s="16" t="s">
        <v>15</v>
      </c>
      <c r="G24" s="13">
        <v>2400000</v>
      </c>
      <c r="H24" s="13">
        <v>2520000</v>
      </c>
      <c r="I24" s="13">
        <f t="shared" si="5"/>
        <v>-120000</v>
      </c>
      <c r="J24" s="13">
        <v>420000</v>
      </c>
      <c r="K24" s="13">
        <f t="shared" si="6"/>
        <v>1980000</v>
      </c>
      <c r="L24" s="14"/>
      <c r="M24" s="15">
        <v>0</v>
      </c>
      <c r="N24" s="16" t="s">
        <v>2217</v>
      </c>
    </row>
    <row r="25" spans="1:14" outlineLevel="2">
      <c r="A25" s="16" t="s">
        <v>27</v>
      </c>
      <c r="B25" s="16" t="s">
        <v>33</v>
      </c>
      <c r="C25" s="16" t="s">
        <v>38</v>
      </c>
      <c r="D25" s="16" t="s">
        <v>138</v>
      </c>
      <c r="E25" s="16" t="s">
        <v>2218</v>
      </c>
      <c r="F25" s="16" t="s">
        <v>15</v>
      </c>
      <c r="G25" s="13">
        <v>5000000</v>
      </c>
      <c r="H25" s="13">
        <v>0</v>
      </c>
      <c r="I25" s="13">
        <f t="shared" si="5"/>
        <v>5000000</v>
      </c>
      <c r="J25" s="13">
        <v>0</v>
      </c>
      <c r="K25" s="13">
        <f t="shared" si="6"/>
        <v>5000000</v>
      </c>
      <c r="L25" s="14"/>
      <c r="M25" s="15">
        <v>0</v>
      </c>
      <c r="N25" s="16" t="s">
        <v>2219</v>
      </c>
    </row>
    <row r="26" spans="1:14" outlineLevel="1">
      <c r="A26" s="3"/>
      <c r="B26" s="3"/>
      <c r="C26" s="4" t="s">
        <v>41</v>
      </c>
      <c r="D26" s="3"/>
      <c r="E26" s="3"/>
      <c r="F26" s="3"/>
      <c r="G26" s="6">
        <f>SUBTOTAL(9,G22:G25)</f>
        <v>9170000</v>
      </c>
      <c r="H26" s="6">
        <f>SUBTOTAL(9,H22:H25)</f>
        <v>2869800</v>
      </c>
      <c r="I26" s="6">
        <f>SUBTOTAL(9,I22:I25)</f>
        <v>6300200</v>
      </c>
      <c r="J26" s="6">
        <f>SUBTOTAL(9,J22:J25)</f>
        <v>769800</v>
      </c>
      <c r="K26" s="6">
        <f>SUBTOTAL(9,K22:K25)</f>
        <v>8400200</v>
      </c>
      <c r="L26" s="8">
        <f>SUBTOTAL(9,L22:L25)</f>
        <v>0</v>
      </c>
      <c r="M26" s="12"/>
      <c r="N26" s="3"/>
    </row>
    <row r="27" spans="1:14" outlineLevel="2">
      <c r="A27" s="16" t="s">
        <v>27</v>
      </c>
      <c r="B27" s="16" t="s">
        <v>2220</v>
      </c>
      <c r="C27" s="16" t="s">
        <v>2221</v>
      </c>
      <c r="D27" s="16" t="s">
        <v>2222</v>
      </c>
      <c r="E27" s="16" t="s">
        <v>2223</v>
      </c>
      <c r="F27" s="16" t="s">
        <v>120</v>
      </c>
      <c r="G27" s="13">
        <v>4420000</v>
      </c>
      <c r="H27" s="13">
        <v>1893210</v>
      </c>
      <c r="I27" s="13">
        <f t="shared" ref="I27:I30" si="7">G27-H27</f>
        <v>2526790</v>
      </c>
      <c r="J27" s="13">
        <v>1893210</v>
      </c>
      <c r="K27" s="13">
        <f t="shared" si="6"/>
        <v>2526790</v>
      </c>
      <c r="L27" s="14"/>
      <c r="M27" s="23">
        <v>0</v>
      </c>
      <c r="N27" s="24" t="s">
        <v>2224</v>
      </c>
    </row>
    <row r="28" spans="1:14" outlineLevel="2">
      <c r="A28" s="16" t="s">
        <v>27</v>
      </c>
      <c r="B28" s="16" t="s">
        <v>2220</v>
      </c>
      <c r="C28" s="16" t="s">
        <v>2221</v>
      </c>
      <c r="D28" s="16" t="s">
        <v>2222</v>
      </c>
      <c r="E28" s="16" t="s">
        <v>2225</v>
      </c>
      <c r="F28" s="16" t="s">
        <v>25</v>
      </c>
      <c r="G28" s="13">
        <v>520000</v>
      </c>
      <c r="H28" s="13">
        <v>0</v>
      </c>
      <c r="I28" s="13">
        <f t="shared" si="7"/>
        <v>520000</v>
      </c>
      <c r="J28" s="13">
        <v>0</v>
      </c>
      <c r="K28" s="13">
        <f t="shared" si="6"/>
        <v>520000</v>
      </c>
      <c r="L28" s="14"/>
      <c r="M28" s="23">
        <v>0</v>
      </c>
      <c r="N28" s="24" t="s">
        <v>2224</v>
      </c>
    </row>
    <row r="29" spans="1:14" outlineLevel="2">
      <c r="A29" s="16" t="s">
        <v>27</v>
      </c>
      <c r="B29" s="16" t="s">
        <v>2220</v>
      </c>
      <c r="C29" s="16" t="s">
        <v>2221</v>
      </c>
      <c r="D29" s="16" t="s">
        <v>2222</v>
      </c>
      <c r="E29" s="16" t="s">
        <v>2226</v>
      </c>
      <c r="F29" s="16" t="s">
        <v>13</v>
      </c>
      <c r="G29" s="13">
        <v>4000000</v>
      </c>
      <c r="H29" s="13">
        <v>738070</v>
      </c>
      <c r="I29" s="13">
        <f t="shared" si="7"/>
        <v>3261930</v>
      </c>
      <c r="J29" s="13">
        <v>346800</v>
      </c>
      <c r="K29" s="13">
        <f t="shared" si="6"/>
        <v>3653200</v>
      </c>
      <c r="L29" s="14"/>
      <c r="M29" s="23">
        <v>0</v>
      </c>
      <c r="N29" s="24" t="s">
        <v>2224</v>
      </c>
    </row>
    <row r="30" spans="1:14" outlineLevel="2">
      <c r="A30" s="16" t="s">
        <v>27</v>
      </c>
      <c r="B30" s="16" t="s">
        <v>2220</v>
      </c>
      <c r="C30" s="16" t="s">
        <v>2221</v>
      </c>
      <c r="D30" s="16" t="s">
        <v>2222</v>
      </c>
      <c r="E30" s="16" t="s">
        <v>2227</v>
      </c>
      <c r="F30" s="16" t="s">
        <v>13</v>
      </c>
      <c r="G30" s="13">
        <v>500000</v>
      </c>
      <c r="H30" s="13">
        <v>0</v>
      </c>
      <c r="I30" s="13">
        <f t="shared" si="7"/>
        <v>500000</v>
      </c>
      <c r="J30" s="13">
        <v>0</v>
      </c>
      <c r="K30" s="13">
        <f t="shared" si="6"/>
        <v>500000</v>
      </c>
      <c r="L30" s="14"/>
      <c r="M30" s="23">
        <v>0</v>
      </c>
      <c r="N30" s="24" t="s">
        <v>2224</v>
      </c>
    </row>
    <row r="31" spans="1:14" outlineLevel="1">
      <c r="A31" s="3"/>
      <c r="B31" s="3"/>
      <c r="C31" s="4" t="s">
        <v>2313</v>
      </c>
      <c r="D31" s="3"/>
      <c r="E31" s="3"/>
      <c r="F31" s="3"/>
      <c r="G31" s="6">
        <f>SUBTOTAL(9,G27:G30)</f>
        <v>9440000</v>
      </c>
      <c r="H31" s="6">
        <f>SUBTOTAL(9,H27:H30)</f>
        <v>2631280</v>
      </c>
      <c r="I31" s="6">
        <f>SUBTOTAL(9,I27:I30)</f>
        <v>6808720</v>
      </c>
      <c r="J31" s="6">
        <f>SUBTOTAL(9,J27:J30)</f>
        <v>2240010</v>
      </c>
      <c r="K31" s="6">
        <f>SUBTOTAL(9,K27:K30)</f>
        <v>7199990</v>
      </c>
      <c r="L31" s="8">
        <f>SUBTOTAL(9,L27:L30)</f>
        <v>0</v>
      </c>
      <c r="M31" s="12"/>
      <c r="N31" s="3"/>
    </row>
    <row r="32" spans="1:14" outlineLevel="2">
      <c r="A32" s="16" t="s">
        <v>27</v>
      </c>
      <c r="B32" s="16" t="s">
        <v>42</v>
      </c>
      <c r="C32" s="16" t="s">
        <v>45</v>
      </c>
      <c r="D32" s="16" t="s">
        <v>2228</v>
      </c>
      <c r="E32" s="16" t="s">
        <v>2229</v>
      </c>
      <c r="F32" s="16" t="s">
        <v>34</v>
      </c>
      <c r="G32" s="13">
        <v>896000</v>
      </c>
      <c r="H32" s="13">
        <v>0</v>
      </c>
      <c r="I32" s="13">
        <f t="shared" ref="I32" si="8">G32-H32</f>
        <v>896000</v>
      </c>
      <c r="J32" s="13">
        <v>0</v>
      </c>
      <c r="K32" s="13">
        <f t="shared" si="6"/>
        <v>896000</v>
      </c>
      <c r="L32" s="14"/>
      <c r="M32" s="15">
        <v>896000</v>
      </c>
      <c r="N32" s="16" t="s">
        <v>2210</v>
      </c>
    </row>
    <row r="33" spans="1:14" outlineLevel="1">
      <c r="A33" s="3"/>
      <c r="B33" s="3"/>
      <c r="C33" s="4" t="s">
        <v>46</v>
      </c>
      <c r="D33" s="3"/>
      <c r="E33" s="3"/>
      <c r="F33" s="3"/>
      <c r="G33" s="6">
        <f>SUBTOTAL(9,G32:G32)</f>
        <v>896000</v>
      </c>
      <c r="H33" s="6">
        <f>SUBTOTAL(9,H32:H32)</f>
        <v>0</v>
      </c>
      <c r="I33" s="6">
        <f>SUBTOTAL(9,I32:I32)</f>
        <v>896000</v>
      </c>
      <c r="J33" s="6">
        <f>SUBTOTAL(9,J32:J32)</f>
        <v>0</v>
      </c>
      <c r="K33" s="6">
        <f>SUBTOTAL(9,K32:K32)</f>
        <v>896000</v>
      </c>
      <c r="L33" s="8">
        <f>SUBTOTAL(9,L32:L32)</f>
        <v>0</v>
      </c>
      <c r="M33" s="12"/>
      <c r="N33" s="3"/>
    </row>
    <row r="34" spans="1:14" outlineLevel="2">
      <c r="A34" s="16" t="s">
        <v>47</v>
      </c>
      <c r="B34" s="16" t="s">
        <v>48</v>
      </c>
      <c r="C34" s="16" t="s">
        <v>144</v>
      </c>
      <c r="D34" s="16" t="s">
        <v>51</v>
      </c>
      <c r="E34" s="16" t="s">
        <v>145</v>
      </c>
      <c r="F34" s="16" t="s">
        <v>2230</v>
      </c>
      <c r="G34" s="13">
        <v>512000</v>
      </c>
      <c r="H34" s="13">
        <v>0</v>
      </c>
      <c r="I34" s="13">
        <f t="shared" ref="I34" si="9">G34-H34</f>
        <v>512000</v>
      </c>
      <c r="J34" s="13">
        <v>0</v>
      </c>
      <c r="K34" s="13">
        <f t="shared" si="6"/>
        <v>512000</v>
      </c>
      <c r="L34" s="14"/>
      <c r="M34" s="15">
        <v>0</v>
      </c>
      <c r="N34" s="16" t="s">
        <v>2231</v>
      </c>
    </row>
    <row r="35" spans="1:14" outlineLevel="1">
      <c r="A35" s="3"/>
      <c r="B35" s="3"/>
      <c r="C35" s="4" t="s">
        <v>216</v>
      </c>
      <c r="D35" s="3"/>
      <c r="E35" s="3"/>
      <c r="F35" s="3"/>
      <c r="G35" s="6">
        <f>SUBTOTAL(9,G34:G34)</f>
        <v>512000</v>
      </c>
      <c r="H35" s="6">
        <f>SUBTOTAL(9,H34:H34)</f>
        <v>0</v>
      </c>
      <c r="I35" s="6">
        <f>SUBTOTAL(9,I34:I34)</f>
        <v>512000</v>
      </c>
      <c r="J35" s="6">
        <f>SUBTOTAL(9,J34:J34)</f>
        <v>0</v>
      </c>
      <c r="K35" s="6">
        <f>SUBTOTAL(9,K34:K34)</f>
        <v>512000</v>
      </c>
      <c r="L35" s="8">
        <f>SUBTOTAL(9,L34:L34)</f>
        <v>0</v>
      </c>
      <c r="M35" s="12"/>
      <c r="N35" s="3"/>
    </row>
    <row r="36" spans="1:14" outlineLevel="2">
      <c r="A36" s="16" t="s">
        <v>47</v>
      </c>
      <c r="B36" s="16" t="s">
        <v>48</v>
      </c>
      <c r="C36" s="16" t="s">
        <v>55</v>
      </c>
      <c r="D36" s="16" t="s">
        <v>53</v>
      </c>
      <c r="E36" s="16" t="s">
        <v>2232</v>
      </c>
      <c r="F36" s="16" t="s">
        <v>13</v>
      </c>
      <c r="G36" s="13">
        <v>3000000</v>
      </c>
      <c r="H36" s="13">
        <v>1531350</v>
      </c>
      <c r="I36" s="13">
        <f t="shared" ref="I36:I37" si="10">G36-H36</f>
        <v>1468650</v>
      </c>
      <c r="J36" s="13">
        <v>1531350</v>
      </c>
      <c r="K36" s="13">
        <f t="shared" si="6"/>
        <v>1468650</v>
      </c>
      <c r="L36" s="14"/>
      <c r="M36" s="23">
        <v>0</v>
      </c>
      <c r="N36" s="24" t="s">
        <v>2233</v>
      </c>
    </row>
    <row r="37" spans="1:14" outlineLevel="2">
      <c r="A37" s="16" t="s">
        <v>47</v>
      </c>
      <c r="B37" s="16" t="s">
        <v>48</v>
      </c>
      <c r="C37" s="16" t="s">
        <v>55</v>
      </c>
      <c r="D37" s="16" t="s">
        <v>53</v>
      </c>
      <c r="E37" s="16" t="s">
        <v>2234</v>
      </c>
      <c r="F37" s="16" t="s">
        <v>13</v>
      </c>
      <c r="G37" s="13">
        <v>3500000</v>
      </c>
      <c r="H37" s="13">
        <v>471700</v>
      </c>
      <c r="I37" s="13">
        <f t="shared" si="10"/>
        <v>3028300</v>
      </c>
      <c r="J37" s="13">
        <v>271100</v>
      </c>
      <c r="K37" s="13">
        <f t="shared" si="6"/>
        <v>3228900</v>
      </c>
      <c r="L37" s="14"/>
      <c r="M37" s="23">
        <v>0</v>
      </c>
      <c r="N37" s="24" t="s">
        <v>2233</v>
      </c>
    </row>
    <row r="38" spans="1:14" outlineLevel="1">
      <c r="A38" s="3"/>
      <c r="B38" s="3"/>
      <c r="C38" s="4" t="s">
        <v>56</v>
      </c>
      <c r="D38" s="3"/>
      <c r="E38" s="3"/>
      <c r="F38" s="3"/>
      <c r="G38" s="6">
        <f>SUBTOTAL(9,G36:G37)</f>
        <v>6500000</v>
      </c>
      <c r="H38" s="6">
        <f>SUBTOTAL(9,H36:H37)</f>
        <v>2003050</v>
      </c>
      <c r="I38" s="6">
        <f>SUBTOTAL(9,I36:I37)</f>
        <v>4496950</v>
      </c>
      <c r="J38" s="6">
        <f>SUBTOTAL(9,J36:J37)</f>
        <v>1802450</v>
      </c>
      <c r="K38" s="6">
        <f>SUBTOTAL(9,K36:K37)</f>
        <v>4697550</v>
      </c>
      <c r="L38" s="8">
        <f>SUBTOTAL(9,L36:L37)</f>
        <v>0</v>
      </c>
      <c r="M38" s="12"/>
      <c r="N38" s="3"/>
    </row>
    <row r="39" spans="1:14" outlineLevel="2">
      <c r="A39" s="16" t="s">
        <v>47</v>
      </c>
      <c r="B39" s="16" t="s">
        <v>48</v>
      </c>
      <c r="C39" s="16" t="s">
        <v>2235</v>
      </c>
      <c r="D39" s="16" t="s">
        <v>53</v>
      </c>
      <c r="E39" s="16" t="s">
        <v>2236</v>
      </c>
      <c r="F39" s="16" t="s">
        <v>15</v>
      </c>
      <c r="G39" s="13">
        <v>750000</v>
      </c>
      <c r="H39" s="13">
        <v>64500</v>
      </c>
      <c r="I39" s="13">
        <f t="shared" ref="I39:I56" si="11">G39-H39</f>
        <v>685500</v>
      </c>
      <c r="J39" s="13">
        <v>31500</v>
      </c>
      <c r="K39" s="13">
        <f t="shared" si="6"/>
        <v>718500</v>
      </c>
      <c r="L39" s="14"/>
      <c r="M39" s="23">
        <v>0</v>
      </c>
      <c r="N39" s="24" t="s">
        <v>2237</v>
      </c>
    </row>
    <row r="40" spans="1:14" outlineLevel="2">
      <c r="A40" s="16" t="s">
        <v>47</v>
      </c>
      <c r="B40" s="16" t="s">
        <v>48</v>
      </c>
      <c r="C40" s="16" t="s">
        <v>2235</v>
      </c>
      <c r="D40" s="16" t="s">
        <v>53</v>
      </c>
      <c r="E40" s="16" t="s">
        <v>2238</v>
      </c>
      <c r="F40" s="16" t="s">
        <v>15</v>
      </c>
      <c r="G40" s="13">
        <v>4903000</v>
      </c>
      <c r="H40" s="13">
        <v>695900</v>
      </c>
      <c r="I40" s="13">
        <f t="shared" si="11"/>
        <v>4207100</v>
      </c>
      <c r="J40" s="13">
        <v>695900</v>
      </c>
      <c r="K40" s="13">
        <f t="shared" si="6"/>
        <v>4207100</v>
      </c>
      <c r="L40" s="14"/>
      <c r="M40" s="23">
        <v>0</v>
      </c>
      <c r="N40" s="24" t="s">
        <v>2237</v>
      </c>
    </row>
    <row r="41" spans="1:14" outlineLevel="2">
      <c r="A41" s="16" t="s">
        <v>47</v>
      </c>
      <c r="B41" s="16" t="s">
        <v>48</v>
      </c>
      <c r="C41" s="16" t="s">
        <v>2235</v>
      </c>
      <c r="D41" s="16" t="s">
        <v>53</v>
      </c>
      <c r="E41" s="16" t="s">
        <v>2239</v>
      </c>
      <c r="F41" s="16" t="s">
        <v>13</v>
      </c>
      <c r="G41" s="13">
        <v>9300000</v>
      </c>
      <c r="H41" s="13">
        <v>811140</v>
      </c>
      <c r="I41" s="13">
        <f t="shared" si="11"/>
        <v>8488860</v>
      </c>
      <c r="J41" s="13">
        <v>811140</v>
      </c>
      <c r="K41" s="13">
        <f t="shared" si="6"/>
        <v>8488860</v>
      </c>
      <c r="L41" s="14"/>
      <c r="M41" s="23">
        <v>0</v>
      </c>
      <c r="N41" s="24" t="s">
        <v>2237</v>
      </c>
    </row>
    <row r="42" spans="1:14" outlineLevel="2">
      <c r="A42" s="16" t="s">
        <v>47</v>
      </c>
      <c r="B42" s="16" t="s">
        <v>48</v>
      </c>
      <c r="C42" s="16" t="s">
        <v>2235</v>
      </c>
      <c r="D42" s="16" t="s">
        <v>53</v>
      </c>
      <c r="E42" s="16" t="s">
        <v>2240</v>
      </c>
      <c r="F42" s="16" t="s">
        <v>66</v>
      </c>
      <c r="G42" s="13">
        <v>3896000</v>
      </c>
      <c r="H42" s="13">
        <v>758700</v>
      </c>
      <c r="I42" s="13">
        <f t="shared" si="11"/>
        <v>3137300</v>
      </c>
      <c r="J42" s="13">
        <v>758700</v>
      </c>
      <c r="K42" s="13">
        <f t="shared" ref="K42:K62" si="12">G42-J42</f>
        <v>3137300</v>
      </c>
      <c r="L42" s="14"/>
      <c r="M42" s="23">
        <v>0</v>
      </c>
      <c r="N42" s="24" t="s">
        <v>2237</v>
      </c>
    </row>
    <row r="43" spans="1:14" outlineLevel="2">
      <c r="A43" s="16" t="s">
        <v>47</v>
      </c>
      <c r="B43" s="16" t="s">
        <v>48</v>
      </c>
      <c r="C43" s="16" t="s">
        <v>2235</v>
      </c>
      <c r="D43" s="16" t="s">
        <v>2241</v>
      </c>
      <c r="E43" s="16" t="s">
        <v>2242</v>
      </c>
      <c r="F43" s="16" t="s">
        <v>13</v>
      </c>
      <c r="G43" s="13">
        <v>900000</v>
      </c>
      <c r="H43" s="13">
        <v>0</v>
      </c>
      <c r="I43" s="13">
        <f t="shared" si="11"/>
        <v>900000</v>
      </c>
      <c r="J43" s="13">
        <v>0</v>
      </c>
      <c r="K43" s="13">
        <f t="shared" si="12"/>
        <v>900000</v>
      </c>
      <c r="L43" s="14"/>
      <c r="M43" s="23">
        <v>0</v>
      </c>
      <c r="N43" s="24" t="s">
        <v>2243</v>
      </c>
    </row>
    <row r="44" spans="1:14" outlineLevel="2">
      <c r="A44" s="16" t="s">
        <v>47</v>
      </c>
      <c r="B44" s="16" t="s">
        <v>48</v>
      </c>
      <c r="C44" s="16" t="s">
        <v>2235</v>
      </c>
      <c r="D44" s="16" t="s">
        <v>2241</v>
      </c>
      <c r="E44" s="16" t="s">
        <v>2244</v>
      </c>
      <c r="F44" s="16" t="s">
        <v>13</v>
      </c>
      <c r="G44" s="13">
        <v>100000</v>
      </c>
      <c r="H44" s="13">
        <v>0</v>
      </c>
      <c r="I44" s="13">
        <f t="shared" si="11"/>
        <v>100000</v>
      </c>
      <c r="J44" s="13">
        <v>0</v>
      </c>
      <c r="K44" s="13">
        <f t="shared" si="12"/>
        <v>100000</v>
      </c>
      <c r="L44" s="14"/>
      <c r="M44" s="23">
        <v>0</v>
      </c>
      <c r="N44" s="24" t="s">
        <v>2243</v>
      </c>
    </row>
    <row r="45" spans="1:14" outlineLevel="2">
      <c r="A45" s="16" t="s">
        <v>47</v>
      </c>
      <c r="B45" s="16" t="s">
        <v>48</v>
      </c>
      <c r="C45" s="16" t="s">
        <v>2235</v>
      </c>
      <c r="D45" s="16" t="s">
        <v>2241</v>
      </c>
      <c r="E45" s="16" t="s">
        <v>2245</v>
      </c>
      <c r="F45" s="16" t="s">
        <v>13</v>
      </c>
      <c r="G45" s="13">
        <v>11600000</v>
      </c>
      <c r="H45" s="13">
        <v>1074880</v>
      </c>
      <c r="I45" s="13">
        <f t="shared" si="11"/>
        <v>10525120</v>
      </c>
      <c r="J45" s="13">
        <v>644840</v>
      </c>
      <c r="K45" s="13">
        <f t="shared" si="12"/>
        <v>10955160</v>
      </c>
      <c r="L45" s="14"/>
      <c r="M45" s="23">
        <v>0</v>
      </c>
      <c r="N45" s="24" t="s">
        <v>2243</v>
      </c>
    </row>
    <row r="46" spans="1:14" outlineLevel="2">
      <c r="A46" s="16" t="s">
        <v>47</v>
      </c>
      <c r="B46" s="16" t="s">
        <v>48</v>
      </c>
      <c r="C46" s="16" t="s">
        <v>2235</v>
      </c>
      <c r="D46" s="16" t="s">
        <v>2246</v>
      </c>
      <c r="E46" s="16" t="s">
        <v>2247</v>
      </c>
      <c r="F46" s="16" t="s">
        <v>13</v>
      </c>
      <c r="G46" s="13">
        <v>1600000</v>
      </c>
      <c r="H46" s="13">
        <v>800000</v>
      </c>
      <c r="I46" s="13">
        <f t="shared" si="11"/>
        <v>800000</v>
      </c>
      <c r="J46" s="13">
        <v>0</v>
      </c>
      <c r="K46" s="13">
        <f t="shared" si="12"/>
        <v>1600000</v>
      </c>
      <c r="L46" s="14"/>
      <c r="M46" s="23">
        <v>2000000</v>
      </c>
      <c r="N46" s="24" t="s">
        <v>2248</v>
      </c>
    </row>
    <row r="47" spans="1:14" outlineLevel="2">
      <c r="A47" s="16" t="s">
        <v>47</v>
      </c>
      <c r="B47" s="16" t="s">
        <v>48</v>
      </c>
      <c r="C47" s="16" t="s">
        <v>2235</v>
      </c>
      <c r="D47" s="16" t="s">
        <v>2246</v>
      </c>
      <c r="E47" s="16" t="s">
        <v>2249</v>
      </c>
      <c r="F47" s="16" t="s">
        <v>13</v>
      </c>
      <c r="G47" s="13">
        <v>400000</v>
      </c>
      <c r="H47" s="13">
        <v>0</v>
      </c>
      <c r="I47" s="13">
        <f t="shared" si="11"/>
        <v>400000</v>
      </c>
      <c r="J47" s="13">
        <v>0</v>
      </c>
      <c r="K47" s="13">
        <f t="shared" si="12"/>
        <v>400000</v>
      </c>
      <c r="L47" s="14"/>
      <c r="M47" s="23">
        <v>2000000</v>
      </c>
      <c r="N47" s="24" t="s">
        <v>2248</v>
      </c>
    </row>
    <row r="48" spans="1:14" outlineLevel="2">
      <c r="A48" s="16" t="s">
        <v>47</v>
      </c>
      <c r="B48" s="16" t="s">
        <v>48</v>
      </c>
      <c r="C48" s="16" t="s">
        <v>2235</v>
      </c>
      <c r="D48" s="16" t="s">
        <v>2250</v>
      </c>
      <c r="E48" s="16" t="s">
        <v>2251</v>
      </c>
      <c r="F48" s="16" t="s">
        <v>120</v>
      </c>
      <c r="G48" s="13">
        <v>1512000</v>
      </c>
      <c r="H48" s="13">
        <v>1511910</v>
      </c>
      <c r="I48" s="13">
        <f t="shared" si="11"/>
        <v>90</v>
      </c>
      <c r="J48" s="13">
        <v>1511910</v>
      </c>
      <c r="K48" s="13">
        <f t="shared" si="12"/>
        <v>90</v>
      </c>
      <c r="L48" s="14"/>
      <c r="M48" s="23">
        <v>16854000</v>
      </c>
      <c r="N48" s="24" t="s">
        <v>2252</v>
      </c>
    </row>
    <row r="49" spans="1:14" outlineLevel="2">
      <c r="A49" s="16" t="s">
        <v>47</v>
      </c>
      <c r="B49" s="16" t="s">
        <v>48</v>
      </c>
      <c r="C49" s="16" t="s">
        <v>2235</v>
      </c>
      <c r="D49" s="16" t="s">
        <v>2250</v>
      </c>
      <c r="E49" s="16" t="s">
        <v>2253</v>
      </c>
      <c r="F49" s="16" t="s">
        <v>13</v>
      </c>
      <c r="G49" s="13">
        <v>7866000</v>
      </c>
      <c r="H49" s="13">
        <v>8497240</v>
      </c>
      <c r="I49" s="13">
        <f t="shared" si="11"/>
        <v>-631240</v>
      </c>
      <c r="J49" s="13">
        <v>4565800</v>
      </c>
      <c r="K49" s="13">
        <f t="shared" si="12"/>
        <v>3300200</v>
      </c>
      <c r="L49" s="14"/>
      <c r="M49" s="23">
        <v>16854000</v>
      </c>
      <c r="N49" s="24" t="s">
        <v>2252</v>
      </c>
    </row>
    <row r="50" spans="1:14" outlineLevel="2">
      <c r="A50" s="16" t="s">
        <v>47</v>
      </c>
      <c r="B50" s="16" t="s">
        <v>48</v>
      </c>
      <c r="C50" s="16" t="s">
        <v>2235</v>
      </c>
      <c r="D50" s="16" t="s">
        <v>2250</v>
      </c>
      <c r="E50" s="16" t="s">
        <v>2254</v>
      </c>
      <c r="F50" s="16" t="s">
        <v>13</v>
      </c>
      <c r="G50" s="13">
        <v>2422000</v>
      </c>
      <c r="H50" s="13">
        <v>2284000</v>
      </c>
      <c r="I50" s="13">
        <f t="shared" si="11"/>
        <v>138000</v>
      </c>
      <c r="J50" s="13">
        <v>1884000</v>
      </c>
      <c r="K50" s="13">
        <f t="shared" si="12"/>
        <v>538000</v>
      </c>
      <c r="L50" s="14"/>
      <c r="M50" s="23">
        <v>16854000</v>
      </c>
      <c r="N50" s="24" t="s">
        <v>2252</v>
      </c>
    </row>
    <row r="51" spans="1:14" outlineLevel="2">
      <c r="A51" s="16" t="s">
        <v>47</v>
      </c>
      <c r="B51" s="16" t="s">
        <v>48</v>
      </c>
      <c r="C51" s="16" t="s">
        <v>2235</v>
      </c>
      <c r="D51" s="16" t="s">
        <v>2250</v>
      </c>
      <c r="E51" s="16" t="s">
        <v>2255</v>
      </c>
      <c r="F51" s="16" t="s">
        <v>13</v>
      </c>
      <c r="G51" s="13">
        <v>3934000</v>
      </c>
      <c r="H51" s="13">
        <v>1803600</v>
      </c>
      <c r="I51" s="13">
        <f t="shared" si="11"/>
        <v>2130400</v>
      </c>
      <c r="J51" s="13">
        <v>1767160</v>
      </c>
      <c r="K51" s="13">
        <f t="shared" si="12"/>
        <v>2166840</v>
      </c>
      <c r="L51" s="14"/>
      <c r="M51" s="23">
        <v>16854000</v>
      </c>
      <c r="N51" s="24" t="s">
        <v>2252</v>
      </c>
    </row>
    <row r="52" spans="1:14" outlineLevel="2">
      <c r="A52" s="16" t="s">
        <v>47</v>
      </c>
      <c r="B52" s="16" t="s">
        <v>48</v>
      </c>
      <c r="C52" s="16" t="s">
        <v>2235</v>
      </c>
      <c r="D52" s="16" t="s">
        <v>2250</v>
      </c>
      <c r="E52" s="16" t="s">
        <v>2256</v>
      </c>
      <c r="F52" s="16" t="s">
        <v>13</v>
      </c>
      <c r="G52" s="13">
        <v>280000</v>
      </c>
      <c r="H52" s="13">
        <v>260000</v>
      </c>
      <c r="I52" s="13">
        <f t="shared" si="11"/>
        <v>20000</v>
      </c>
      <c r="J52" s="13">
        <v>260000</v>
      </c>
      <c r="K52" s="13">
        <f t="shared" si="12"/>
        <v>20000</v>
      </c>
      <c r="L52" s="14"/>
      <c r="M52" s="23">
        <v>16854000</v>
      </c>
      <c r="N52" s="24" t="s">
        <v>2252</v>
      </c>
    </row>
    <row r="53" spans="1:14" outlineLevel="2">
      <c r="A53" s="16" t="s">
        <v>47</v>
      </c>
      <c r="B53" s="16" t="s">
        <v>48</v>
      </c>
      <c r="C53" s="16" t="s">
        <v>2235</v>
      </c>
      <c r="D53" s="16" t="s">
        <v>2250</v>
      </c>
      <c r="E53" s="16" t="s">
        <v>2257</v>
      </c>
      <c r="F53" s="16" t="s">
        <v>13</v>
      </c>
      <c r="G53" s="13">
        <v>840000</v>
      </c>
      <c r="H53" s="13">
        <v>735000</v>
      </c>
      <c r="I53" s="13">
        <f t="shared" si="11"/>
        <v>105000</v>
      </c>
      <c r="J53" s="13">
        <v>735000</v>
      </c>
      <c r="K53" s="13">
        <f t="shared" si="12"/>
        <v>105000</v>
      </c>
      <c r="L53" s="14"/>
      <c r="M53" s="23">
        <v>16854000</v>
      </c>
      <c r="N53" s="24" t="s">
        <v>2252</v>
      </c>
    </row>
    <row r="54" spans="1:14" outlineLevel="2">
      <c r="A54" s="16" t="s">
        <v>47</v>
      </c>
      <c r="B54" s="16" t="s">
        <v>48</v>
      </c>
      <c r="C54" s="16" t="s">
        <v>2235</v>
      </c>
      <c r="D54" s="16" t="s">
        <v>2258</v>
      </c>
      <c r="E54" s="16" t="s">
        <v>124</v>
      </c>
      <c r="F54" s="16" t="s">
        <v>120</v>
      </c>
      <c r="G54" s="13">
        <v>1761000</v>
      </c>
      <c r="H54" s="13">
        <v>1531040</v>
      </c>
      <c r="I54" s="13">
        <f t="shared" si="11"/>
        <v>229960</v>
      </c>
      <c r="J54" s="13">
        <v>1531040</v>
      </c>
      <c r="K54" s="13">
        <f t="shared" si="12"/>
        <v>229960</v>
      </c>
      <c r="L54" s="14"/>
      <c r="M54" s="23">
        <v>10166000</v>
      </c>
      <c r="N54" s="24" t="s">
        <v>2259</v>
      </c>
    </row>
    <row r="55" spans="1:14" outlineLevel="2">
      <c r="A55" s="16" t="s">
        <v>47</v>
      </c>
      <c r="B55" s="16" t="s">
        <v>48</v>
      </c>
      <c r="C55" s="16" t="s">
        <v>2235</v>
      </c>
      <c r="D55" s="16" t="s">
        <v>2258</v>
      </c>
      <c r="E55" s="16" t="s">
        <v>2260</v>
      </c>
      <c r="F55" s="16" t="s">
        <v>32</v>
      </c>
      <c r="G55" s="13">
        <v>8405000</v>
      </c>
      <c r="H55" s="13">
        <v>3677920</v>
      </c>
      <c r="I55" s="13">
        <f t="shared" si="11"/>
        <v>4727080</v>
      </c>
      <c r="J55" s="13">
        <v>3677920</v>
      </c>
      <c r="K55" s="13">
        <f t="shared" si="12"/>
        <v>4727080</v>
      </c>
      <c r="L55" s="14"/>
      <c r="M55" s="23">
        <v>10166000</v>
      </c>
      <c r="N55" s="24" t="s">
        <v>2259</v>
      </c>
    </row>
    <row r="56" spans="1:14" outlineLevel="2">
      <c r="A56" s="16" t="s">
        <v>47</v>
      </c>
      <c r="B56" s="16" t="s">
        <v>48</v>
      </c>
      <c r="C56" s="16" t="s">
        <v>2235</v>
      </c>
      <c r="D56" s="16" t="s">
        <v>2261</v>
      </c>
      <c r="E56" s="16" t="s">
        <v>2262</v>
      </c>
      <c r="F56" s="16" t="s">
        <v>13</v>
      </c>
      <c r="G56" s="13">
        <v>500000</v>
      </c>
      <c r="H56" s="13">
        <v>203800</v>
      </c>
      <c r="I56" s="13">
        <f t="shared" si="11"/>
        <v>296200</v>
      </c>
      <c r="J56" s="13">
        <v>0</v>
      </c>
      <c r="K56" s="13">
        <f t="shared" si="12"/>
        <v>500000</v>
      </c>
      <c r="L56" s="14"/>
      <c r="M56" s="15">
        <v>500000</v>
      </c>
      <c r="N56" s="16" t="s">
        <v>2263</v>
      </c>
    </row>
    <row r="57" spans="1:14" outlineLevel="1">
      <c r="A57" s="3"/>
      <c r="B57" s="3"/>
      <c r="C57" s="4" t="s">
        <v>2314</v>
      </c>
      <c r="D57" s="3"/>
      <c r="E57" s="3"/>
      <c r="F57" s="3"/>
      <c r="G57" s="6">
        <f>SUBTOTAL(9,G39:G56)</f>
        <v>60969000</v>
      </c>
      <c r="H57" s="6">
        <f>SUBTOTAL(9,H39:H56)</f>
        <v>24709630</v>
      </c>
      <c r="I57" s="6">
        <f>SUBTOTAL(9,I39:I56)</f>
        <v>36259370</v>
      </c>
      <c r="J57" s="6">
        <f>SUBTOTAL(9,J39:J56)</f>
        <v>18874910</v>
      </c>
      <c r="K57" s="6">
        <f>SUBTOTAL(9,K39:K56)</f>
        <v>42094090</v>
      </c>
      <c r="L57" s="8">
        <f>SUBTOTAL(9,L39:L56)</f>
        <v>0</v>
      </c>
      <c r="M57" s="12"/>
      <c r="N57" s="3"/>
    </row>
    <row r="58" spans="1:14" outlineLevel="2">
      <c r="A58" s="16" t="s">
        <v>47</v>
      </c>
      <c r="B58" s="16" t="s">
        <v>57</v>
      </c>
      <c r="C58" s="16" t="s">
        <v>168</v>
      </c>
      <c r="D58" s="16" t="s">
        <v>169</v>
      </c>
      <c r="E58" s="16" t="s">
        <v>2264</v>
      </c>
      <c r="F58" s="16" t="s">
        <v>34</v>
      </c>
      <c r="G58" s="13">
        <v>400000</v>
      </c>
      <c r="H58" s="13">
        <v>0</v>
      </c>
      <c r="I58" s="13">
        <f t="shared" ref="I58" si="13">G58-H58</f>
        <v>400000</v>
      </c>
      <c r="J58" s="13">
        <v>0</v>
      </c>
      <c r="K58" s="13">
        <f t="shared" si="12"/>
        <v>400000</v>
      </c>
      <c r="L58" s="14"/>
      <c r="M58" s="15">
        <v>0</v>
      </c>
      <c r="N58" s="16" t="s">
        <v>2265</v>
      </c>
    </row>
    <row r="59" spans="1:14" outlineLevel="1">
      <c r="A59" s="3"/>
      <c r="B59" s="3"/>
      <c r="C59" s="4" t="s">
        <v>217</v>
      </c>
      <c r="D59" s="3"/>
      <c r="E59" s="3"/>
      <c r="F59" s="3"/>
      <c r="G59" s="6">
        <f>SUBTOTAL(9,G58:G58)</f>
        <v>400000</v>
      </c>
      <c r="H59" s="6">
        <f>SUBTOTAL(9,H58:H58)</f>
        <v>0</v>
      </c>
      <c r="I59" s="6">
        <f>SUBTOTAL(9,I58:I58)</f>
        <v>400000</v>
      </c>
      <c r="J59" s="6">
        <f>SUBTOTAL(9,J58:J58)</f>
        <v>0</v>
      </c>
      <c r="K59" s="6">
        <f>SUBTOTAL(9,K58:K58)</f>
        <v>400000</v>
      </c>
      <c r="L59" s="8">
        <f>SUBTOTAL(9,L58:L58)</f>
        <v>0</v>
      </c>
      <c r="M59" s="12"/>
      <c r="N59" s="3"/>
    </row>
    <row r="60" spans="1:14" outlineLevel="2">
      <c r="A60" s="16" t="s">
        <v>60</v>
      </c>
      <c r="B60" s="16" t="s">
        <v>61</v>
      </c>
      <c r="C60" s="16" t="s">
        <v>2266</v>
      </c>
      <c r="D60" s="16" t="s">
        <v>2267</v>
      </c>
      <c r="E60" s="16" t="s">
        <v>2268</v>
      </c>
      <c r="F60" s="16" t="s">
        <v>25</v>
      </c>
      <c r="G60" s="13">
        <v>4545000</v>
      </c>
      <c r="H60" s="13">
        <v>1856250</v>
      </c>
      <c r="I60" s="13">
        <f t="shared" ref="I60:I62" si="14">G60-H60</f>
        <v>2688750</v>
      </c>
      <c r="J60" s="13">
        <v>1856250</v>
      </c>
      <c r="K60" s="13">
        <f t="shared" si="12"/>
        <v>2688750</v>
      </c>
      <c r="L60" s="14"/>
      <c r="M60" s="23">
        <v>5565000</v>
      </c>
      <c r="N60" s="24" t="s">
        <v>2269</v>
      </c>
    </row>
    <row r="61" spans="1:14" outlineLevel="2">
      <c r="A61" s="16" t="s">
        <v>60</v>
      </c>
      <c r="B61" s="16" t="s">
        <v>61</v>
      </c>
      <c r="C61" s="16" t="s">
        <v>2266</v>
      </c>
      <c r="D61" s="16" t="s">
        <v>2267</v>
      </c>
      <c r="E61" s="16" t="s">
        <v>2270</v>
      </c>
      <c r="F61" s="16" t="s">
        <v>25</v>
      </c>
      <c r="G61" s="13">
        <v>1020000</v>
      </c>
      <c r="H61" s="13">
        <v>420000</v>
      </c>
      <c r="I61" s="13">
        <f t="shared" si="14"/>
        <v>600000</v>
      </c>
      <c r="J61" s="13">
        <v>420000</v>
      </c>
      <c r="K61" s="13">
        <f t="shared" si="12"/>
        <v>600000</v>
      </c>
      <c r="L61" s="14"/>
      <c r="M61" s="23">
        <v>5565000</v>
      </c>
      <c r="N61" s="24" t="s">
        <v>2269</v>
      </c>
    </row>
    <row r="62" spans="1:14" outlineLevel="2">
      <c r="A62" s="16" t="s">
        <v>60</v>
      </c>
      <c r="B62" s="16" t="s">
        <v>61</v>
      </c>
      <c r="C62" s="16" t="s">
        <v>2266</v>
      </c>
      <c r="D62" s="16" t="s">
        <v>2271</v>
      </c>
      <c r="E62" s="16" t="s">
        <v>2271</v>
      </c>
      <c r="F62" s="16" t="s">
        <v>120</v>
      </c>
      <c r="G62" s="13">
        <v>6185000</v>
      </c>
      <c r="H62" s="13">
        <v>1081020</v>
      </c>
      <c r="I62" s="13">
        <f t="shared" si="14"/>
        <v>5103980</v>
      </c>
      <c r="J62" s="13">
        <v>1081020</v>
      </c>
      <c r="K62" s="13">
        <f t="shared" si="12"/>
        <v>5103980</v>
      </c>
      <c r="L62" s="14"/>
      <c r="M62" s="15">
        <v>6185000</v>
      </c>
      <c r="N62" s="16" t="s">
        <v>2272</v>
      </c>
    </row>
    <row r="63" spans="1:14" outlineLevel="1">
      <c r="A63" s="3"/>
      <c r="B63" s="3"/>
      <c r="C63" s="4" t="s">
        <v>2315</v>
      </c>
      <c r="D63" s="3"/>
      <c r="E63" s="3"/>
      <c r="F63" s="3"/>
      <c r="G63" s="6">
        <f>SUBTOTAL(9,G60:G62)</f>
        <v>11750000</v>
      </c>
      <c r="H63" s="6">
        <f>SUBTOTAL(9,H60:H62)</f>
        <v>3357270</v>
      </c>
      <c r="I63" s="6">
        <f>SUBTOTAL(9,I60:I62)</f>
        <v>8392730</v>
      </c>
      <c r="J63" s="6">
        <f>SUBTOTAL(9,J60:J62)</f>
        <v>3357270</v>
      </c>
      <c r="K63" s="6">
        <f>SUBTOTAL(9,K60:K62)</f>
        <v>8392730</v>
      </c>
      <c r="L63" s="8">
        <f>SUBTOTAL(9,L60:L62)</f>
        <v>0</v>
      </c>
      <c r="M63" s="12"/>
      <c r="N63" s="3"/>
    </row>
    <row r="64" spans="1:14" outlineLevel="2">
      <c r="A64" s="16" t="s">
        <v>68</v>
      </c>
      <c r="B64" s="16" t="s">
        <v>69</v>
      </c>
      <c r="C64" s="16" t="s">
        <v>70</v>
      </c>
      <c r="D64" s="16" t="s">
        <v>70</v>
      </c>
      <c r="E64" s="16" t="s">
        <v>2273</v>
      </c>
      <c r="F64" s="16" t="s">
        <v>15</v>
      </c>
      <c r="G64" s="13">
        <v>600000</v>
      </c>
      <c r="H64" s="13">
        <v>396000</v>
      </c>
      <c r="I64" s="13">
        <f t="shared" ref="I64:I69" si="15">G64-H64</f>
        <v>204000</v>
      </c>
      <c r="J64" s="13">
        <v>396000</v>
      </c>
      <c r="K64" s="13">
        <f t="shared" ref="K64:K79" si="16">G64-J64</f>
        <v>204000</v>
      </c>
      <c r="L64" s="14"/>
      <c r="M64" s="23">
        <v>0</v>
      </c>
      <c r="N64" s="24" t="s">
        <v>2274</v>
      </c>
    </row>
    <row r="65" spans="1:14" outlineLevel="2">
      <c r="A65" s="16" t="s">
        <v>68</v>
      </c>
      <c r="B65" s="16" t="s">
        <v>69</v>
      </c>
      <c r="C65" s="16" t="s">
        <v>70</v>
      </c>
      <c r="D65" s="16" t="s">
        <v>70</v>
      </c>
      <c r="E65" s="16" t="s">
        <v>187</v>
      </c>
      <c r="F65" s="16" t="s">
        <v>15</v>
      </c>
      <c r="G65" s="13">
        <v>594000</v>
      </c>
      <c r="H65" s="13">
        <v>594000</v>
      </c>
      <c r="I65" s="13">
        <f t="shared" si="15"/>
        <v>0</v>
      </c>
      <c r="J65" s="13">
        <v>594000</v>
      </c>
      <c r="K65" s="13">
        <f t="shared" si="16"/>
        <v>0</v>
      </c>
      <c r="L65" s="14"/>
      <c r="M65" s="23">
        <v>0</v>
      </c>
      <c r="N65" s="24" t="s">
        <v>2274</v>
      </c>
    </row>
    <row r="66" spans="1:14" outlineLevel="2">
      <c r="A66" s="16" t="s">
        <v>68</v>
      </c>
      <c r="B66" s="16" t="s">
        <v>69</v>
      </c>
      <c r="C66" s="16" t="s">
        <v>70</v>
      </c>
      <c r="D66" s="16" t="s">
        <v>70</v>
      </c>
      <c r="E66" s="16" t="s">
        <v>2275</v>
      </c>
      <c r="F66" s="16" t="s">
        <v>13</v>
      </c>
      <c r="G66" s="13">
        <v>2000000</v>
      </c>
      <c r="H66" s="13">
        <v>0</v>
      </c>
      <c r="I66" s="13">
        <f t="shared" si="15"/>
        <v>2000000</v>
      </c>
      <c r="J66" s="13">
        <v>0</v>
      </c>
      <c r="K66" s="13">
        <f t="shared" si="16"/>
        <v>2000000</v>
      </c>
      <c r="L66" s="14"/>
      <c r="M66" s="23">
        <v>0</v>
      </c>
      <c r="N66" s="24" t="s">
        <v>2274</v>
      </c>
    </row>
    <row r="67" spans="1:14" outlineLevel="2">
      <c r="A67" s="16" t="s">
        <v>68</v>
      </c>
      <c r="B67" s="16" t="s">
        <v>69</v>
      </c>
      <c r="C67" s="16" t="s">
        <v>70</v>
      </c>
      <c r="D67" s="16" t="s">
        <v>188</v>
      </c>
      <c r="E67" s="16" t="s">
        <v>189</v>
      </c>
      <c r="F67" s="16" t="s">
        <v>13</v>
      </c>
      <c r="G67" s="13">
        <v>500000</v>
      </c>
      <c r="H67" s="13">
        <v>0</v>
      </c>
      <c r="I67" s="13">
        <f t="shared" si="15"/>
        <v>500000</v>
      </c>
      <c r="J67" s="13">
        <v>0</v>
      </c>
      <c r="K67" s="13">
        <f t="shared" si="16"/>
        <v>500000</v>
      </c>
      <c r="L67" s="14"/>
      <c r="M67" s="23">
        <v>0</v>
      </c>
      <c r="N67" s="24" t="s">
        <v>2276</v>
      </c>
    </row>
    <row r="68" spans="1:14" outlineLevel="2">
      <c r="A68" s="16" t="s">
        <v>68</v>
      </c>
      <c r="B68" s="16" t="s">
        <v>69</v>
      </c>
      <c r="C68" s="16" t="s">
        <v>70</v>
      </c>
      <c r="D68" s="16" t="s">
        <v>188</v>
      </c>
      <c r="E68" s="16" t="s">
        <v>2277</v>
      </c>
      <c r="F68" s="16" t="s">
        <v>13</v>
      </c>
      <c r="G68" s="13">
        <v>500000</v>
      </c>
      <c r="H68" s="13">
        <v>0</v>
      </c>
      <c r="I68" s="13">
        <f t="shared" si="15"/>
        <v>500000</v>
      </c>
      <c r="J68" s="13">
        <v>0</v>
      </c>
      <c r="K68" s="13">
        <f t="shared" si="16"/>
        <v>500000</v>
      </c>
      <c r="L68" s="14"/>
      <c r="M68" s="23">
        <v>0</v>
      </c>
      <c r="N68" s="24" t="s">
        <v>2276</v>
      </c>
    </row>
    <row r="69" spans="1:14" outlineLevel="2">
      <c r="A69" s="16" t="s">
        <v>68</v>
      </c>
      <c r="B69" s="16" t="s">
        <v>69</v>
      </c>
      <c r="C69" s="16" t="s">
        <v>70</v>
      </c>
      <c r="D69" s="16" t="s">
        <v>190</v>
      </c>
      <c r="E69" s="16" t="s">
        <v>2278</v>
      </c>
      <c r="F69" s="16" t="s">
        <v>14</v>
      </c>
      <c r="G69" s="13">
        <v>1260000</v>
      </c>
      <c r="H69" s="13">
        <v>368000</v>
      </c>
      <c r="I69" s="13">
        <f t="shared" si="15"/>
        <v>892000</v>
      </c>
      <c r="J69" s="13">
        <v>368000</v>
      </c>
      <c r="K69" s="13">
        <f t="shared" si="16"/>
        <v>892000</v>
      </c>
      <c r="L69" s="14"/>
      <c r="M69" s="15">
        <v>0</v>
      </c>
      <c r="N69" s="16" t="s">
        <v>2231</v>
      </c>
    </row>
    <row r="70" spans="1:14" outlineLevel="1">
      <c r="A70" s="3"/>
      <c r="B70" s="3"/>
      <c r="C70" s="4" t="s">
        <v>71</v>
      </c>
      <c r="D70" s="3"/>
      <c r="E70" s="3"/>
      <c r="F70" s="3"/>
      <c r="G70" s="6">
        <f>SUBTOTAL(9,G64:G69)</f>
        <v>5454000</v>
      </c>
      <c r="H70" s="6">
        <f>SUBTOTAL(9,H64:H69)</f>
        <v>1358000</v>
      </c>
      <c r="I70" s="6">
        <f>SUBTOTAL(9,I64:I69)</f>
        <v>4096000</v>
      </c>
      <c r="J70" s="6">
        <f>SUBTOTAL(9,J64:J69)</f>
        <v>1358000</v>
      </c>
      <c r="K70" s="6">
        <f>SUBTOTAL(9,K64:K69)</f>
        <v>4096000</v>
      </c>
      <c r="L70" s="8">
        <f>SUBTOTAL(9,L64:L69)</f>
        <v>0</v>
      </c>
      <c r="M70" s="12"/>
      <c r="N70" s="3"/>
    </row>
    <row r="71" spans="1:14" outlineLevel="2">
      <c r="A71" s="16" t="s">
        <v>68</v>
      </c>
      <c r="B71" s="16" t="s">
        <v>73</v>
      </c>
      <c r="C71" s="16" t="s">
        <v>75</v>
      </c>
      <c r="D71" s="16" t="s">
        <v>2279</v>
      </c>
      <c r="E71" s="16" t="s">
        <v>194</v>
      </c>
      <c r="F71" s="16" t="s">
        <v>15</v>
      </c>
      <c r="G71" s="13">
        <v>2640000</v>
      </c>
      <c r="H71" s="13">
        <v>2772000</v>
      </c>
      <c r="I71" s="13">
        <f t="shared" ref="I71:I73" si="17">G71-H71</f>
        <v>-132000</v>
      </c>
      <c r="J71" s="13">
        <v>462000</v>
      </c>
      <c r="K71" s="13">
        <f t="shared" si="16"/>
        <v>2178000</v>
      </c>
      <c r="L71" s="14"/>
      <c r="M71" s="23">
        <v>0</v>
      </c>
      <c r="N71" s="24" t="s">
        <v>2280</v>
      </c>
    </row>
    <row r="72" spans="1:14" outlineLevel="2">
      <c r="A72" s="16" t="s">
        <v>68</v>
      </c>
      <c r="B72" s="16" t="s">
        <v>73</v>
      </c>
      <c r="C72" s="16" t="s">
        <v>75</v>
      </c>
      <c r="D72" s="16" t="s">
        <v>2279</v>
      </c>
      <c r="E72" s="16" t="s">
        <v>196</v>
      </c>
      <c r="F72" s="16" t="s">
        <v>15</v>
      </c>
      <c r="G72" s="13">
        <v>1452000</v>
      </c>
      <c r="H72" s="13">
        <v>1452000</v>
      </c>
      <c r="I72" s="13">
        <f t="shared" si="17"/>
        <v>0</v>
      </c>
      <c r="J72" s="13">
        <v>242000</v>
      </c>
      <c r="K72" s="13">
        <f t="shared" si="16"/>
        <v>1210000</v>
      </c>
      <c r="L72" s="14"/>
      <c r="M72" s="23">
        <v>0</v>
      </c>
      <c r="N72" s="24" t="s">
        <v>2280</v>
      </c>
    </row>
    <row r="73" spans="1:14" outlineLevel="2">
      <c r="A73" s="16" t="s">
        <v>68</v>
      </c>
      <c r="B73" s="16" t="s">
        <v>73</v>
      </c>
      <c r="C73" s="16" t="s">
        <v>75</v>
      </c>
      <c r="D73" s="16" t="s">
        <v>2279</v>
      </c>
      <c r="E73" s="16" t="s">
        <v>2281</v>
      </c>
      <c r="F73" s="16" t="s">
        <v>13</v>
      </c>
      <c r="G73" s="13">
        <v>2000000</v>
      </c>
      <c r="H73" s="13">
        <v>0</v>
      </c>
      <c r="I73" s="13">
        <f t="shared" si="17"/>
        <v>2000000</v>
      </c>
      <c r="J73" s="13">
        <v>0</v>
      </c>
      <c r="K73" s="13">
        <f t="shared" si="16"/>
        <v>2000000</v>
      </c>
      <c r="L73" s="14"/>
      <c r="M73" s="23">
        <v>0</v>
      </c>
      <c r="N73" s="24" t="s">
        <v>2280</v>
      </c>
    </row>
    <row r="74" spans="1:14" outlineLevel="1">
      <c r="A74" s="3"/>
      <c r="B74" s="3"/>
      <c r="C74" s="4" t="s">
        <v>77</v>
      </c>
      <c r="D74" s="3"/>
      <c r="E74" s="3"/>
      <c r="F74" s="3"/>
      <c r="G74" s="6">
        <f>SUBTOTAL(9,G71:G73)</f>
        <v>6092000</v>
      </c>
      <c r="H74" s="6">
        <f>SUBTOTAL(9,H71:H73)</f>
        <v>4224000</v>
      </c>
      <c r="I74" s="6">
        <f>SUBTOTAL(9,I71:I73)</f>
        <v>1868000</v>
      </c>
      <c r="J74" s="6">
        <f>SUBTOTAL(9,J71:J73)</f>
        <v>704000</v>
      </c>
      <c r="K74" s="6">
        <f>SUBTOTAL(9,K71:K73)</f>
        <v>5388000</v>
      </c>
      <c r="L74" s="8">
        <f>SUBTOTAL(9,L71:L73)</f>
        <v>0</v>
      </c>
      <c r="M74" s="12"/>
      <c r="N74" s="3"/>
    </row>
    <row r="75" spans="1:14" outlineLevel="2">
      <c r="A75" s="16" t="s">
        <v>68</v>
      </c>
      <c r="B75" s="16" t="s">
        <v>78</v>
      </c>
      <c r="C75" s="16" t="s">
        <v>79</v>
      </c>
      <c r="D75" s="16" t="s">
        <v>197</v>
      </c>
      <c r="E75" s="16" t="s">
        <v>2282</v>
      </c>
      <c r="F75" s="16" t="s">
        <v>31</v>
      </c>
      <c r="G75" s="13">
        <v>12000000</v>
      </c>
      <c r="H75" s="13">
        <v>0</v>
      </c>
      <c r="I75" s="13">
        <f t="shared" ref="I75" si="18">G75-H75</f>
        <v>12000000</v>
      </c>
      <c r="J75" s="13">
        <v>0</v>
      </c>
      <c r="K75" s="13">
        <f t="shared" si="16"/>
        <v>12000000</v>
      </c>
      <c r="L75" s="14"/>
      <c r="M75" s="15">
        <v>0</v>
      </c>
      <c r="N75" s="16" t="s">
        <v>2283</v>
      </c>
    </row>
    <row r="76" spans="1:14" outlineLevel="1">
      <c r="A76" s="3"/>
      <c r="B76" s="3"/>
      <c r="C76" s="4" t="s">
        <v>80</v>
      </c>
      <c r="D76" s="3"/>
      <c r="E76" s="3"/>
      <c r="F76" s="3"/>
      <c r="G76" s="6">
        <f>SUBTOTAL(9,G75:G75)</f>
        <v>12000000</v>
      </c>
      <c r="H76" s="6">
        <f>SUBTOTAL(9,H75:H75)</f>
        <v>0</v>
      </c>
      <c r="I76" s="6">
        <f>SUBTOTAL(9,I75:I75)</f>
        <v>12000000</v>
      </c>
      <c r="J76" s="6">
        <f>SUBTOTAL(9,J75:J75)</f>
        <v>0</v>
      </c>
      <c r="K76" s="6">
        <f>SUBTOTAL(9,K75:K75)</f>
        <v>12000000</v>
      </c>
      <c r="L76" s="8">
        <f>SUBTOTAL(9,L75:L75)</f>
        <v>0</v>
      </c>
      <c r="M76" s="12"/>
      <c r="N76" s="3"/>
    </row>
    <row r="77" spans="1:14" outlineLevel="2">
      <c r="A77" s="16" t="s">
        <v>68</v>
      </c>
      <c r="B77" s="16" t="s">
        <v>81</v>
      </c>
      <c r="C77" s="16" t="s">
        <v>84</v>
      </c>
      <c r="D77" s="16" t="s">
        <v>207</v>
      </c>
      <c r="E77" s="16" t="s">
        <v>2284</v>
      </c>
      <c r="F77" s="16" t="s">
        <v>13</v>
      </c>
      <c r="G77" s="13">
        <v>300000</v>
      </c>
      <c r="H77" s="13">
        <v>0</v>
      </c>
      <c r="I77" s="13">
        <f t="shared" ref="I77" si="19">G77-H77</f>
        <v>300000</v>
      </c>
      <c r="J77" s="13">
        <v>0</v>
      </c>
      <c r="K77" s="13">
        <f t="shared" si="16"/>
        <v>300000</v>
      </c>
      <c r="L77" s="14"/>
      <c r="M77" s="15">
        <v>0</v>
      </c>
      <c r="N77" s="16" t="s">
        <v>2285</v>
      </c>
    </row>
    <row r="78" spans="1:14" outlineLevel="1">
      <c r="A78" s="3"/>
      <c r="B78" s="3"/>
      <c r="C78" s="4" t="s">
        <v>85</v>
      </c>
      <c r="D78" s="3"/>
      <c r="E78" s="3"/>
      <c r="F78" s="3"/>
      <c r="G78" s="6">
        <f>SUBTOTAL(9,G77:G77)</f>
        <v>300000</v>
      </c>
      <c r="H78" s="6">
        <f>SUBTOTAL(9,H77:H77)</f>
        <v>0</v>
      </c>
      <c r="I78" s="6">
        <f>SUBTOTAL(9,I77:I77)</f>
        <v>300000</v>
      </c>
      <c r="J78" s="6">
        <f>SUBTOTAL(9,J77:J77)</f>
        <v>0</v>
      </c>
      <c r="K78" s="6">
        <f>SUBTOTAL(9,K77:K77)</f>
        <v>300000</v>
      </c>
      <c r="L78" s="8">
        <f>SUBTOTAL(9,L77:L77)</f>
        <v>0</v>
      </c>
      <c r="M78" s="12"/>
      <c r="N78" s="3"/>
    </row>
    <row r="79" spans="1:14" outlineLevel="2">
      <c r="A79" s="16" t="s">
        <v>86</v>
      </c>
      <c r="B79" s="16" t="s">
        <v>98</v>
      </c>
      <c r="C79" s="16" t="s">
        <v>99</v>
      </c>
      <c r="D79" s="16" t="s">
        <v>99</v>
      </c>
      <c r="E79" s="16" t="s">
        <v>2286</v>
      </c>
      <c r="F79" s="16" t="s">
        <v>14</v>
      </c>
      <c r="G79" s="13">
        <v>420000</v>
      </c>
      <c r="H79" s="13">
        <v>0</v>
      </c>
      <c r="I79" s="13">
        <f t="shared" ref="I79" si="20">G79-H79</f>
        <v>420000</v>
      </c>
      <c r="J79" s="13">
        <v>0</v>
      </c>
      <c r="K79" s="13">
        <f t="shared" si="16"/>
        <v>420000</v>
      </c>
      <c r="L79" s="14"/>
      <c r="M79" s="15">
        <v>0</v>
      </c>
      <c r="N79" s="16" t="s">
        <v>2287</v>
      </c>
    </row>
    <row r="80" spans="1:14" outlineLevel="1">
      <c r="A80" s="3"/>
      <c r="B80" s="3"/>
      <c r="C80" s="4" t="s">
        <v>100</v>
      </c>
      <c r="D80" s="3"/>
      <c r="E80" s="3"/>
      <c r="F80" s="3"/>
      <c r="G80" s="6">
        <f>SUBTOTAL(9,G79:G79)</f>
        <v>420000</v>
      </c>
      <c r="H80" s="6">
        <f>SUBTOTAL(9,H79:H79)</f>
        <v>0</v>
      </c>
      <c r="I80" s="6">
        <f>SUBTOTAL(9,I79:I79)</f>
        <v>420000</v>
      </c>
      <c r="J80" s="6">
        <f>SUBTOTAL(9,J79:J79)</f>
        <v>0</v>
      </c>
      <c r="K80" s="6">
        <f>SUBTOTAL(9,K79:K79)</f>
        <v>420000</v>
      </c>
      <c r="L80" s="8">
        <f>SUBTOTAL(9,L79:L79)</f>
        <v>0</v>
      </c>
      <c r="M80" s="12"/>
      <c r="N80" s="3"/>
    </row>
    <row r="81" spans="1:14" outlineLevel="2">
      <c r="A81" s="16" t="s">
        <v>86</v>
      </c>
      <c r="B81" s="16" t="s">
        <v>98</v>
      </c>
      <c r="C81" s="16" t="s">
        <v>101</v>
      </c>
      <c r="D81" s="16" t="s">
        <v>211</v>
      </c>
      <c r="E81" s="16" t="s">
        <v>2288</v>
      </c>
      <c r="F81" s="16" t="s">
        <v>14</v>
      </c>
      <c r="G81" s="13">
        <v>500000</v>
      </c>
      <c r="H81" s="13">
        <v>0</v>
      </c>
      <c r="I81" s="13">
        <f t="shared" ref="I81:I83" si="21">G81-H81</f>
        <v>500000</v>
      </c>
      <c r="J81" s="13">
        <v>0</v>
      </c>
      <c r="K81" s="13">
        <f t="shared" ref="K81:K104" si="22">G81-J81</f>
        <v>500000</v>
      </c>
      <c r="L81" s="14"/>
      <c r="M81" s="15">
        <v>0</v>
      </c>
      <c r="N81" s="16" t="s">
        <v>2191</v>
      </c>
    </row>
    <row r="82" spans="1:14" outlineLevel="2">
      <c r="A82" s="16" t="s">
        <v>86</v>
      </c>
      <c r="B82" s="16" t="s">
        <v>98</v>
      </c>
      <c r="C82" s="16" t="s">
        <v>101</v>
      </c>
      <c r="D82" s="16" t="s">
        <v>2289</v>
      </c>
      <c r="E82" s="16" t="s">
        <v>2290</v>
      </c>
      <c r="F82" s="16" t="s">
        <v>15</v>
      </c>
      <c r="G82" s="13">
        <v>800000</v>
      </c>
      <c r="H82" s="13">
        <v>0</v>
      </c>
      <c r="I82" s="13">
        <f t="shared" si="21"/>
        <v>800000</v>
      </c>
      <c r="J82" s="13">
        <v>0</v>
      </c>
      <c r="K82" s="13">
        <f t="shared" si="22"/>
        <v>800000</v>
      </c>
      <c r="L82" s="14"/>
      <c r="M82" s="23">
        <v>0</v>
      </c>
      <c r="N82" s="24" t="s">
        <v>2189</v>
      </c>
    </row>
    <row r="83" spans="1:14" outlineLevel="2">
      <c r="A83" s="16" t="s">
        <v>86</v>
      </c>
      <c r="B83" s="16" t="s">
        <v>98</v>
      </c>
      <c r="C83" s="16" t="s">
        <v>101</v>
      </c>
      <c r="D83" s="16" t="s">
        <v>2289</v>
      </c>
      <c r="E83" s="16" t="s">
        <v>2291</v>
      </c>
      <c r="F83" s="16" t="s">
        <v>25</v>
      </c>
      <c r="G83" s="13">
        <v>1000000</v>
      </c>
      <c r="H83" s="13">
        <v>350000</v>
      </c>
      <c r="I83" s="13">
        <f t="shared" si="21"/>
        <v>650000</v>
      </c>
      <c r="J83" s="13">
        <v>350000</v>
      </c>
      <c r="K83" s="13">
        <f t="shared" si="22"/>
        <v>650000</v>
      </c>
      <c r="L83" s="14"/>
      <c r="M83" s="23">
        <v>0</v>
      </c>
      <c r="N83" s="24" t="s">
        <v>2189</v>
      </c>
    </row>
    <row r="84" spans="1:14" outlineLevel="1">
      <c r="A84" s="3"/>
      <c r="B84" s="3"/>
      <c r="C84" s="4" t="s">
        <v>102</v>
      </c>
      <c r="D84" s="3"/>
      <c r="E84" s="3"/>
      <c r="F84" s="3"/>
      <c r="G84" s="6">
        <f>SUBTOTAL(9,G81:G83)</f>
        <v>2300000</v>
      </c>
      <c r="H84" s="6">
        <f>SUBTOTAL(9,H81:H83)</f>
        <v>350000</v>
      </c>
      <c r="I84" s="6">
        <f>SUBTOTAL(9,I81:I83)</f>
        <v>1950000</v>
      </c>
      <c r="J84" s="6">
        <f>SUBTOTAL(9,J81:J83)</f>
        <v>350000</v>
      </c>
      <c r="K84" s="6">
        <f>SUBTOTAL(9,K81:K83)</f>
        <v>1950000</v>
      </c>
      <c r="L84" s="8">
        <f>SUBTOTAL(9,L81:L83)</f>
        <v>0</v>
      </c>
      <c r="M84" s="12"/>
      <c r="N84" s="3"/>
    </row>
    <row r="85" spans="1:14" outlineLevel="2">
      <c r="A85" s="16" t="s">
        <v>86</v>
      </c>
      <c r="B85" s="16" t="s">
        <v>103</v>
      </c>
      <c r="C85" s="16" t="s">
        <v>2292</v>
      </c>
      <c r="D85" s="16" t="s">
        <v>2293</v>
      </c>
      <c r="E85" s="16" t="s">
        <v>89</v>
      </c>
      <c r="F85" s="16" t="s">
        <v>89</v>
      </c>
      <c r="G85" s="13">
        <v>16080000</v>
      </c>
      <c r="H85" s="13">
        <v>2416980</v>
      </c>
      <c r="I85" s="13">
        <f t="shared" ref="I85:I105" si="23">G85-H85</f>
        <v>13663020</v>
      </c>
      <c r="J85" s="13">
        <v>2416980</v>
      </c>
      <c r="K85" s="13">
        <f t="shared" si="22"/>
        <v>13663020</v>
      </c>
      <c r="L85" s="14"/>
      <c r="M85" s="23">
        <v>0</v>
      </c>
      <c r="N85" s="24" t="s">
        <v>2294</v>
      </c>
    </row>
    <row r="86" spans="1:14" outlineLevel="2">
      <c r="A86" s="16" t="s">
        <v>86</v>
      </c>
      <c r="B86" s="16" t="s">
        <v>103</v>
      </c>
      <c r="C86" s="16" t="s">
        <v>2292</v>
      </c>
      <c r="D86" s="16" t="s">
        <v>2293</v>
      </c>
      <c r="E86" s="16" t="s">
        <v>90</v>
      </c>
      <c r="F86" s="16" t="s">
        <v>90</v>
      </c>
      <c r="G86" s="13">
        <v>4600000</v>
      </c>
      <c r="H86" s="13">
        <v>0</v>
      </c>
      <c r="I86" s="13">
        <f t="shared" si="23"/>
        <v>4600000</v>
      </c>
      <c r="J86" s="13">
        <v>0</v>
      </c>
      <c r="K86" s="13">
        <f t="shared" si="22"/>
        <v>4600000</v>
      </c>
      <c r="L86" s="14"/>
      <c r="M86" s="23">
        <v>0</v>
      </c>
      <c r="N86" s="24" t="s">
        <v>2294</v>
      </c>
    </row>
    <row r="87" spans="1:14" outlineLevel="2">
      <c r="A87" s="16" t="s">
        <v>86</v>
      </c>
      <c r="B87" s="16" t="s">
        <v>103</v>
      </c>
      <c r="C87" s="16" t="s">
        <v>2292</v>
      </c>
      <c r="D87" s="16" t="s">
        <v>2293</v>
      </c>
      <c r="E87" s="16" t="s">
        <v>2295</v>
      </c>
      <c r="F87" s="16" t="s">
        <v>30</v>
      </c>
      <c r="G87" s="13">
        <v>6720000</v>
      </c>
      <c r="H87" s="13">
        <v>1878460</v>
      </c>
      <c r="I87" s="13">
        <f t="shared" si="23"/>
        <v>4841540</v>
      </c>
      <c r="J87" s="13">
        <v>1490430</v>
      </c>
      <c r="K87" s="13">
        <f t="shared" si="22"/>
        <v>5229570</v>
      </c>
      <c r="L87" s="14"/>
      <c r="M87" s="23">
        <v>0</v>
      </c>
      <c r="N87" s="24" t="s">
        <v>2294</v>
      </c>
    </row>
    <row r="88" spans="1:14" outlineLevel="2">
      <c r="A88" s="16" t="s">
        <v>86</v>
      </c>
      <c r="B88" s="16" t="s">
        <v>103</v>
      </c>
      <c r="C88" s="16" t="s">
        <v>2292</v>
      </c>
      <c r="D88" s="16" t="s">
        <v>2293</v>
      </c>
      <c r="E88" s="16" t="s">
        <v>93</v>
      </c>
      <c r="F88" s="16" t="s">
        <v>92</v>
      </c>
      <c r="G88" s="13">
        <v>50000</v>
      </c>
      <c r="H88" s="13">
        <v>0</v>
      </c>
      <c r="I88" s="13">
        <f t="shared" si="23"/>
        <v>50000</v>
      </c>
      <c r="J88" s="13">
        <v>0</v>
      </c>
      <c r="K88" s="13">
        <f t="shared" si="22"/>
        <v>50000</v>
      </c>
      <c r="L88" s="14"/>
      <c r="M88" s="23">
        <v>0</v>
      </c>
      <c r="N88" s="24" t="s">
        <v>2294</v>
      </c>
    </row>
    <row r="89" spans="1:14" outlineLevel="2">
      <c r="A89" s="16" t="s">
        <v>86</v>
      </c>
      <c r="B89" s="16" t="s">
        <v>103</v>
      </c>
      <c r="C89" s="16" t="s">
        <v>2292</v>
      </c>
      <c r="D89" s="16" t="s">
        <v>2293</v>
      </c>
      <c r="E89" s="16" t="s">
        <v>91</v>
      </c>
      <c r="F89" s="16" t="s">
        <v>92</v>
      </c>
      <c r="G89" s="13">
        <v>1800000</v>
      </c>
      <c r="H89" s="13">
        <v>264440</v>
      </c>
      <c r="I89" s="13">
        <f t="shared" si="23"/>
        <v>1535560</v>
      </c>
      <c r="J89" s="13">
        <v>264440</v>
      </c>
      <c r="K89" s="13">
        <f t="shared" si="22"/>
        <v>1535560</v>
      </c>
      <c r="L89" s="14"/>
      <c r="M89" s="23">
        <v>0</v>
      </c>
      <c r="N89" s="24" t="s">
        <v>2294</v>
      </c>
    </row>
    <row r="90" spans="1:14" outlineLevel="2">
      <c r="A90" s="16" t="s">
        <v>86</v>
      </c>
      <c r="B90" s="16" t="s">
        <v>103</v>
      </c>
      <c r="C90" s="16" t="s">
        <v>2292</v>
      </c>
      <c r="D90" s="16" t="s">
        <v>2296</v>
      </c>
      <c r="E90" s="16" t="s">
        <v>209</v>
      </c>
      <c r="F90" s="16" t="s">
        <v>15</v>
      </c>
      <c r="G90" s="13">
        <v>509000</v>
      </c>
      <c r="H90" s="13">
        <v>508200</v>
      </c>
      <c r="I90" s="13">
        <f t="shared" si="23"/>
        <v>800</v>
      </c>
      <c r="J90" s="13">
        <v>84700</v>
      </c>
      <c r="K90" s="13">
        <f t="shared" si="22"/>
        <v>424300</v>
      </c>
      <c r="L90" s="14"/>
      <c r="M90" s="23">
        <v>0</v>
      </c>
      <c r="N90" s="24" t="s">
        <v>2297</v>
      </c>
    </row>
    <row r="91" spans="1:14" outlineLevel="2">
      <c r="A91" s="16" t="s">
        <v>86</v>
      </c>
      <c r="B91" s="16" t="s">
        <v>103</v>
      </c>
      <c r="C91" s="16" t="s">
        <v>2292</v>
      </c>
      <c r="D91" s="16" t="s">
        <v>2296</v>
      </c>
      <c r="E91" s="16" t="s">
        <v>208</v>
      </c>
      <c r="F91" s="16" t="s">
        <v>15</v>
      </c>
      <c r="G91" s="13">
        <v>1056000</v>
      </c>
      <c r="H91" s="13">
        <v>1056000</v>
      </c>
      <c r="I91" s="13">
        <f t="shared" si="23"/>
        <v>0</v>
      </c>
      <c r="J91" s="13">
        <v>176000</v>
      </c>
      <c r="K91" s="13">
        <f t="shared" si="22"/>
        <v>880000</v>
      </c>
      <c r="L91" s="14"/>
      <c r="M91" s="23">
        <v>0</v>
      </c>
      <c r="N91" s="24" t="s">
        <v>2297</v>
      </c>
    </row>
    <row r="92" spans="1:14" outlineLevel="2">
      <c r="A92" s="16" t="s">
        <v>86</v>
      </c>
      <c r="B92" s="16" t="s">
        <v>103</v>
      </c>
      <c r="C92" s="16" t="s">
        <v>2292</v>
      </c>
      <c r="D92" s="16" t="s">
        <v>2296</v>
      </c>
      <c r="E92" s="16" t="s">
        <v>2298</v>
      </c>
      <c r="F92" s="16" t="s">
        <v>15</v>
      </c>
      <c r="G92" s="13">
        <v>21080000</v>
      </c>
      <c r="H92" s="13">
        <v>21079370</v>
      </c>
      <c r="I92" s="13">
        <f t="shared" si="23"/>
        <v>630</v>
      </c>
      <c r="J92" s="13">
        <v>3263680</v>
      </c>
      <c r="K92" s="13">
        <f t="shared" si="22"/>
        <v>17816320</v>
      </c>
      <c r="L92" s="14"/>
      <c r="M92" s="23">
        <v>0</v>
      </c>
      <c r="N92" s="24" t="s">
        <v>2297</v>
      </c>
    </row>
    <row r="93" spans="1:14" outlineLevel="2">
      <c r="A93" s="16" t="s">
        <v>86</v>
      </c>
      <c r="B93" s="16" t="s">
        <v>103</v>
      </c>
      <c r="C93" s="16" t="s">
        <v>2292</v>
      </c>
      <c r="D93" s="16" t="s">
        <v>2296</v>
      </c>
      <c r="E93" s="16" t="s">
        <v>2299</v>
      </c>
      <c r="F93" s="16" t="s">
        <v>15</v>
      </c>
      <c r="G93" s="13">
        <v>1200000</v>
      </c>
      <c r="H93" s="13">
        <v>0</v>
      </c>
      <c r="I93" s="13">
        <f t="shared" si="23"/>
        <v>1200000</v>
      </c>
      <c r="J93" s="13">
        <v>0</v>
      </c>
      <c r="K93" s="13">
        <f t="shared" si="22"/>
        <v>1200000</v>
      </c>
      <c r="L93" s="14"/>
      <c r="M93" s="23">
        <v>0</v>
      </c>
      <c r="N93" s="24" t="s">
        <v>2297</v>
      </c>
    </row>
    <row r="94" spans="1:14" outlineLevel="2">
      <c r="A94" s="16" t="s">
        <v>86</v>
      </c>
      <c r="B94" s="16" t="s">
        <v>103</v>
      </c>
      <c r="C94" s="16" t="s">
        <v>2292</v>
      </c>
      <c r="D94" s="16" t="s">
        <v>2296</v>
      </c>
      <c r="E94" s="16" t="s">
        <v>2300</v>
      </c>
      <c r="F94" s="16" t="s">
        <v>15</v>
      </c>
      <c r="G94" s="13">
        <v>14500000</v>
      </c>
      <c r="H94" s="13">
        <v>7175810</v>
      </c>
      <c r="I94" s="13">
        <f t="shared" si="23"/>
        <v>7324190</v>
      </c>
      <c r="J94" s="13">
        <v>340000</v>
      </c>
      <c r="K94" s="13">
        <f t="shared" si="22"/>
        <v>14160000</v>
      </c>
      <c r="L94" s="14"/>
      <c r="M94" s="23">
        <v>0</v>
      </c>
      <c r="N94" s="24" t="s">
        <v>2297</v>
      </c>
    </row>
    <row r="95" spans="1:14" outlineLevel="2">
      <c r="A95" s="16" t="s">
        <v>86</v>
      </c>
      <c r="B95" s="16" t="s">
        <v>103</v>
      </c>
      <c r="C95" s="16" t="s">
        <v>2292</v>
      </c>
      <c r="D95" s="16" t="s">
        <v>105</v>
      </c>
      <c r="E95" s="16" t="s">
        <v>212</v>
      </c>
      <c r="F95" s="16" t="s">
        <v>14</v>
      </c>
      <c r="G95" s="13">
        <v>250000</v>
      </c>
      <c r="H95" s="13">
        <v>0</v>
      </c>
      <c r="I95" s="13">
        <f t="shared" si="23"/>
        <v>250000</v>
      </c>
      <c r="J95" s="13">
        <v>0</v>
      </c>
      <c r="K95" s="13">
        <f t="shared" si="22"/>
        <v>250000</v>
      </c>
      <c r="L95" s="14"/>
      <c r="M95" s="23">
        <v>0</v>
      </c>
      <c r="N95" s="24" t="s">
        <v>2301</v>
      </c>
    </row>
    <row r="96" spans="1:14" outlineLevel="2">
      <c r="A96" s="16" t="s">
        <v>86</v>
      </c>
      <c r="B96" s="16" t="s">
        <v>103</v>
      </c>
      <c r="C96" s="16" t="s">
        <v>2292</v>
      </c>
      <c r="D96" s="16" t="s">
        <v>105</v>
      </c>
      <c r="E96" s="16" t="s">
        <v>2302</v>
      </c>
      <c r="F96" s="16" t="s">
        <v>14</v>
      </c>
      <c r="G96" s="13">
        <v>500000</v>
      </c>
      <c r="H96" s="13">
        <v>0</v>
      </c>
      <c r="I96" s="13">
        <f t="shared" si="23"/>
        <v>500000</v>
      </c>
      <c r="J96" s="13">
        <v>0</v>
      </c>
      <c r="K96" s="13">
        <f t="shared" si="22"/>
        <v>500000</v>
      </c>
      <c r="L96" s="14"/>
      <c r="M96" s="23">
        <v>0</v>
      </c>
      <c r="N96" s="24" t="s">
        <v>2301</v>
      </c>
    </row>
    <row r="97" spans="1:14" outlineLevel="2">
      <c r="A97" s="16" t="s">
        <v>86</v>
      </c>
      <c r="B97" s="16" t="s">
        <v>103</v>
      </c>
      <c r="C97" s="16" t="s">
        <v>2292</v>
      </c>
      <c r="D97" s="16" t="s">
        <v>105</v>
      </c>
      <c r="E97" s="16" t="s">
        <v>106</v>
      </c>
      <c r="F97" s="16" t="s">
        <v>107</v>
      </c>
      <c r="G97" s="13">
        <v>240000</v>
      </c>
      <c r="H97" s="13">
        <v>60000</v>
      </c>
      <c r="I97" s="13">
        <f t="shared" si="23"/>
        <v>180000</v>
      </c>
      <c r="J97" s="13">
        <v>60000</v>
      </c>
      <c r="K97" s="13">
        <f t="shared" si="22"/>
        <v>180000</v>
      </c>
      <c r="L97" s="14"/>
      <c r="M97" s="23">
        <v>0</v>
      </c>
      <c r="N97" s="24" t="s">
        <v>2301</v>
      </c>
    </row>
    <row r="98" spans="1:14" outlineLevel="2">
      <c r="A98" s="16" t="s">
        <v>86</v>
      </c>
      <c r="B98" s="16" t="s">
        <v>103</v>
      </c>
      <c r="C98" s="16" t="s">
        <v>2292</v>
      </c>
      <c r="D98" s="16" t="s">
        <v>214</v>
      </c>
      <c r="E98" s="16" t="s">
        <v>2303</v>
      </c>
      <c r="F98" s="16" t="s">
        <v>15</v>
      </c>
      <c r="G98" s="13">
        <v>5400000</v>
      </c>
      <c r="H98" s="13">
        <v>906260</v>
      </c>
      <c r="I98" s="13">
        <f t="shared" si="23"/>
        <v>4493740</v>
      </c>
      <c r="J98" s="13">
        <v>372780</v>
      </c>
      <c r="K98" s="13">
        <f t="shared" si="22"/>
        <v>5027220</v>
      </c>
      <c r="L98" s="14"/>
      <c r="M98" s="23">
        <v>0</v>
      </c>
      <c r="N98" s="24" t="s">
        <v>2304</v>
      </c>
    </row>
    <row r="99" spans="1:14" outlineLevel="2">
      <c r="A99" s="16" t="s">
        <v>86</v>
      </c>
      <c r="B99" s="16" t="s">
        <v>103</v>
      </c>
      <c r="C99" s="16" t="s">
        <v>2292</v>
      </c>
      <c r="D99" s="16" t="s">
        <v>214</v>
      </c>
      <c r="E99" s="16" t="s">
        <v>2305</v>
      </c>
      <c r="F99" s="16" t="s">
        <v>15</v>
      </c>
      <c r="G99" s="13">
        <v>1200000</v>
      </c>
      <c r="H99" s="13">
        <v>239260</v>
      </c>
      <c r="I99" s="13">
        <f t="shared" si="23"/>
        <v>960740</v>
      </c>
      <c r="J99" s="13">
        <v>239260</v>
      </c>
      <c r="K99" s="13">
        <f t="shared" si="22"/>
        <v>960740</v>
      </c>
      <c r="L99" s="14"/>
      <c r="M99" s="23">
        <v>0</v>
      </c>
      <c r="N99" s="24" t="s">
        <v>2304</v>
      </c>
    </row>
    <row r="100" spans="1:14" outlineLevel="2">
      <c r="A100" s="16" t="s">
        <v>86</v>
      </c>
      <c r="B100" s="16" t="s">
        <v>103</v>
      </c>
      <c r="C100" s="16" t="s">
        <v>2292</v>
      </c>
      <c r="D100" s="16" t="s">
        <v>214</v>
      </c>
      <c r="E100" s="16" t="s">
        <v>2306</v>
      </c>
      <c r="F100" s="16" t="s">
        <v>15</v>
      </c>
      <c r="G100" s="13">
        <v>500000</v>
      </c>
      <c r="H100" s="13">
        <v>0</v>
      </c>
      <c r="I100" s="13">
        <f t="shared" si="23"/>
        <v>500000</v>
      </c>
      <c r="J100" s="13">
        <v>0</v>
      </c>
      <c r="K100" s="13">
        <f t="shared" si="22"/>
        <v>500000</v>
      </c>
      <c r="L100" s="14"/>
      <c r="M100" s="23">
        <v>0</v>
      </c>
      <c r="N100" s="24" t="s">
        <v>2304</v>
      </c>
    </row>
    <row r="101" spans="1:14" outlineLevel="2">
      <c r="A101" s="16" t="s">
        <v>86</v>
      </c>
      <c r="B101" s="16" t="s">
        <v>103</v>
      </c>
      <c r="C101" s="16" t="s">
        <v>2292</v>
      </c>
      <c r="D101" s="16" t="s">
        <v>214</v>
      </c>
      <c r="E101" s="16" t="s">
        <v>2307</v>
      </c>
      <c r="F101" s="16" t="s">
        <v>14</v>
      </c>
      <c r="G101" s="13">
        <v>1200000</v>
      </c>
      <c r="H101" s="13">
        <v>79000</v>
      </c>
      <c r="I101" s="13">
        <f t="shared" si="23"/>
        <v>1121000</v>
      </c>
      <c r="J101" s="13">
        <v>0</v>
      </c>
      <c r="K101" s="13">
        <f t="shared" si="22"/>
        <v>1200000</v>
      </c>
      <c r="L101" s="14"/>
      <c r="M101" s="23">
        <v>0</v>
      </c>
      <c r="N101" s="24" t="s">
        <v>2304</v>
      </c>
    </row>
    <row r="102" spans="1:14" outlineLevel="2">
      <c r="A102" s="16" t="s">
        <v>86</v>
      </c>
      <c r="B102" s="16" t="s">
        <v>103</v>
      </c>
      <c r="C102" s="16" t="s">
        <v>2292</v>
      </c>
      <c r="D102" s="16" t="s">
        <v>108</v>
      </c>
      <c r="E102" s="16" t="s">
        <v>2308</v>
      </c>
      <c r="F102" s="16" t="s">
        <v>15</v>
      </c>
      <c r="G102" s="13">
        <v>461000</v>
      </c>
      <c r="H102" s="13">
        <v>555000</v>
      </c>
      <c r="I102" s="13">
        <f t="shared" si="23"/>
        <v>-94000</v>
      </c>
      <c r="J102" s="13">
        <v>56520</v>
      </c>
      <c r="K102" s="13">
        <f t="shared" si="22"/>
        <v>404480</v>
      </c>
      <c r="L102" s="14"/>
      <c r="M102" s="23">
        <v>0</v>
      </c>
      <c r="N102" s="24" t="s">
        <v>2309</v>
      </c>
    </row>
    <row r="103" spans="1:14" outlineLevel="2">
      <c r="A103" s="16" t="s">
        <v>86</v>
      </c>
      <c r="B103" s="16" t="s">
        <v>103</v>
      </c>
      <c r="C103" s="16" t="s">
        <v>2292</v>
      </c>
      <c r="D103" s="16" t="s">
        <v>108</v>
      </c>
      <c r="E103" s="16" t="s">
        <v>2310</v>
      </c>
      <c r="F103" s="16" t="s">
        <v>44</v>
      </c>
      <c r="G103" s="13">
        <v>1800000</v>
      </c>
      <c r="H103" s="13">
        <v>40000</v>
      </c>
      <c r="I103" s="13">
        <f t="shared" si="23"/>
        <v>1760000</v>
      </c>
      <c r="J103" s="13">
        <v>40000</v>
      </c>
      <c r="K103" s="13">
        <f t="shared" si="22"/>
        <v>1760000</v>
      </c>
      <c r="L103" s="14"/>
      <c r="M103" s="23">
        <v>0</v>
      </c>
      <c r="N103" s="24" t="s">
        <v>2309</v>
      </c>
    </row>
    <row r="104" spans="1:14" outlineLevel="2">
      <c r="A104" s="16" t="s">
        <v>86</v>
      </c>
      <c r="B104" s="16" t="s">
        <v>103</v>
      </c>
      <c r="C104" s="16" t="s">
        <v>2292</v>
      </c>
      <c r="D104" s="16" t="s">
        <v>108</v>
      </c>
      <c r="E104" s="16" t="s">
        <v>213</v>
      </c>
      <c r="F104" s="16" t="s">
        <v>14</v>
      </c>
      <c r="G104" s="13">
        <v>400000</v>
      </c>
      <c r="H104" s="13">
        <v>150982</v>
      </c>
      <c r="I104" s="13">
        <f t="shared" si="23"/>
        <v>249018</v>
      </c>
      <c r="J104" s="13">
        <v>0</v>
      </c>
      <c r="K104" s="13">
        <f t="shared" si="22"/>
        <v>400000</v>
      </c>
      <c r="L104" s="14"/>
      <c r="M104" s="23">
        <v>0</v>
      </c>
      <c r="N104" s="24" t="s">
        <v>2309</v>
      </c>
    </row>
    <row r="105" spans="1:14" outlineLevel="2">
      <c r="A105" s="16" t="s">
        <v>86</v>
      </c>
      <c r="B105" s="16" t="s">
        <v>103</v>
      </c>
      <c r="C105" s="16" t="s">
        <v>2292</v>
      </c>
      <c r="D105" s="16" t="s">
        <v>108</v>
      </c>
      <c r="E105" s="16" t="s">
        <v>2311</v>
      </c>
      <c r="F105" s="16" t="s">
        <v>14</v>
      </c>
      <c r="G105" s="13">
        <v>360000</v>
      </c>
      <c r="H105" s="13">
        <v>0</v>
      </c>
      <c r="I105" s="13">
        <f t="shared" si="23"/>
        <v>360000</v>
      </c>
      <c r="J105" s="13">
        <v>0</v>
      </c>
      <c r="K105" s="13">
        <f t="shared" ref="K105" si="24">G105-J105</f>
        <v>360000</v>
      </c>
      <c r="L105" s="14"/>
      <c r="M105" s="23">
        <v>0</v>
      </c>
      <c r="N105" s="24" t="s">
        <v>2309</v>
      </c>
    </row>
    <row r="106" spans="1:14" outlineLevel="1">
      <c r="A106" s="3"/>
      <c r="B106" s="3"/>
      <c r="C106" s="4" t="s">
        <v>2316</v>
      </c>
      <c r="D106" s="3"/>
      <c r="E106" s="3"/>
      <c r="F106" s="3"/>
      <c r="G106" s="6">
        <f>SUBTOTAL(9,G85:G105)</f>
        <v>79906000</v>
      </c>
      <c r="H106" s="6">
        <f>SUBTOTAL(9,H85:H105)</f>
        <v>36409762</v>
      </c>
      <c r="I106" s="6">
        <f>SUBTOTAL(9,I85:I105)</f>
        <v>43496238</v>
      </c>
      <c r="J106" s="6">
        <f>SUBTOTAL(9,J85:J105)</f>
        <v>8804790</v>
      </c>
      <c r="K106" s="6">
        <f>SUBTOTAL(9,K85:K105)</f>
        <v>71101210</v>
      </c>
      <c r="L106" s="8">
        <f>SUBTOTAL(9,L85:L105)</f>
        <v>0</v>
      </c>
      <c r="M106" s="12"/>
      <c r="N106" s="3"/>
    </row>
    <row r="107" spans="1:14" ht="17.25" thickBot="1">
      <c r="A107" s="3"/>
      <c r="B107" s="3"/>
      <c r="C107" s="4" t="s">
        <v>110</v>
      </c>
      <c r="D107" s="3"/>
      <c r="E107" s="3"/>
      <c r="F107" s="3"/>
      <c r="G107" s="6">
        <f>SUBTOTAL(9,G2:G105)</f>
        <v>231425000</v>
      </c>
      <c r="H107" s="6">
        <f>SUBTOTAL(9,H2:H105)</f>
        <v>93584872</v>
      </c>
      <c r="I107" s="6">
        <f>SUBTOTAL(9,I2:I105)</f>
        <v>137840128</v>
      </c>
      <c r="J107" s="6">
        <f>SUBTOTAL(9,J2:J105)</f>
        <v>53883310</v>
      </c>
      <c r="K107" s="6">
        <f>SUBTOTAL(9,K2:K105)</f>
        <v>177541690</v>
      </c>
      <c r="L107" s="9">
        <f>SUBTOTAL(9,L2:L105)</f>
        <v>0</v>
      </c>
      <c r="M107" s="12"/>
      <c r="N107" s="3"/>
    </row>
    <row r="108" spans="1:14" ht="17.25" thickTop="1"/>
  </sheetData>
  <autoFilter ref="A1:M1" xr:uid="{715B5B8B-ECD2-4378-B89F-1A29E7B50CE0}"/>
  <mergeCells count="46">
    <mergeCell ref="M98:M101"/>
    <mergeCell ref="N98:N101"/>
    <mergeCell ref="M102:M105"/>
    <mergeCell ref="N102:N105"/>
    <mergeCell ref="M90:M94"/>
    <mergeCell ref="N90:N94"/>
    <mergeCell ref="M95:M97"/>
    <mergeCell ref="N95:N97"/>
    <mergeCell ref="M82:M83"/>
    <mergeCell ref="N82:N83"/>
    <mergeCell ref="M85:M89"/>
    <mergeCell ref="N85:N89"/>
    <mergeCell ref="M64:M66"/>
    <mergeCell ref="N64:N66"/>
    <mergeCell ref="M67:M68"/>
    <mergeCell ref="N67:N68"/>
    <mergeCell ref="M71:M73"/>
    <mergeCell ref="N71:N73"/>
    <mergeCell ref="M60:M61"/>
    <mergeCell ref="N60:N61"/>
    <mergeCell ref="M54:M55"/>
    <mergeCell ref="N54:N55"/>
    <mergeCell ref="M46:M47"/>
    <mergeCell ref="N46:N47"/>
    <mergeCell ref="M48:M53"/>
    <mergeCell ref="N48:N53"/>
    <mergeCell ref="M36:M37"/>
    <mergeCell ref="N36:N37"/>
    <mergeCell ref="M39:M42"/>
    <mergeCell ref="N39:N42"/>
    <mergeCell ref="M43:M45"/>
    <mergeCell ref="N43:N45"/>
    <mergeCell ref="M27:M30"/>
    <mergeCell ref="N27:N30"/>
    <mergeCell ref="M19:M20"/>
    <mergeCell ref="N19:N20"/>
    <mergeCell ref="M22:M23"/>
    <mergeCell ref="N22:N23"/>
    <mergeCell ref="M13:M14"/>
    <mergeCell ref="N13:N14"/>
    <mergeCell ref="M15:M16"/>
    <mergeCell ref="N15:N16"/>
    <mergeCell ref="M6:M8"/>
    <mergeCell ref="N6:N8"/>
    <mergeCell ref="M4:M5"/>
    <mergeCell ref="N4:N5"/>
  </mergeCells>
  <phoneticPr fontId="1" type="noConversion"/>
  <printOptions horizontalCentered="1"/>
  <pageMargins left="0.54" right="0.32" top="0.74803149606299213" bottom="0.51181102362204722" header="0.51181102362204722" footer="0.31496062992125984"/>
  <pageSetup paperSize="9" scale="58" fitToHeight="100" orientation="landscape" r:id="rId1"/>
  <headerFooter>
    <oddHeader>&amp;R&amp;F</oddHeader>
    <oddFooter>&amp;C&amp;N쪽-&amp;P쪽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C000"/>
    <pageSetUpPr fitToPage="1"/>
  </sheetPr>
  <dimension ref="A1:G1755"/>
  <sheetViews>
    <sheetView workbookViewId="0">
      <pane ySplit="1" topLeftCell="A2" activePane="bottomLeft" state="frozen"/>
      <selection pane="bottomLeft" activeCell="K21" sqref="K21"/>
    </sheetView>
  </sheetViews>
  <sheetFormatPr defaultRowHeight="16.5"/>
  <cols>
    <col min="1" max="2" width="17.625" customWidth="1"/>
    <col min="3" max="3" width="12.625" customWidth="1"/>
    <col min="4" max="4" width="10.625" customWidth="1"/>
    <col min="5" max="5" width="65.625" customWidth="1"/>
    <col min="6" max="6" width="18.625" customWidth="1"/>
    <col min="7" max="7" width="12.625" style="17" customWidth="1"/>
  </cols>
  <sheetData>
    <row r="1" spans="1:7">
      <c r="A1" s="5" t="s">
        <v>220</v>
      </c>
      <c r="B1" s="5" t="s">
        <v>221</v>
      </c>
      <c r="C1" s="5" t="s">
        <v>222</v>
      </c>
      <c r="D1" s="5" t="s">
        <v>229</v>
      </c>
      <c r="E1" s="5" t="s">
        <v>218</v>
      </c>
      <c r="F1" s="5" t="s">
        <v>219</v>
      </c>
      <c r="G1" s="22" t="s">
        <v>223</v>
      </c>
    </row>
    <row r="2" spans="1:7">
      <c r="A2" s="11" t="s">
        <v>104</v>
      </c>
      <c r="B2" s="11" t="s">
        <v>105</v>
      </c>
      <c r="C2" s="11" t="s">
        <v>107</v>
      </c>
      <c r="D2" s="18">
        <v>45720</v>
      </c>
      <c r="E2" s="11" t="s">
        <v>230</v>
      </c>
      <c r="F2" s="11" t="s">
        <v>231</v>
      </c>
      <c r="G2" s="19">
        <v>370000</v>
      </c>
    </row>
    <row r="3" spans="1:7">
      <c r="A3" s="11" t="s">
        <v>168</v>
      </c>
      <c r="B3" s="11" t="s">
        <v>169</v>
      </c>
      <c r="C3" s="11" t="s">
        <v>13</v>
      </c>
      <c r="D3" s="18">
        <v>45727</v>
      </c>
      <c r="E3" s="11" t="s">
        <v>232</v>
      </c>
      <c r="F3" s="11" t="s">
        <v>233</v>
      </c>
      <c r="G3" s="19">
        <v>13350000</v>
      </c>
    </row>
    <row r="4" spans="1:7">
      <c r="A4" s="11" t="s">
        <v>87</v>
      </c>
      <c r="B4" s="11" t="s">
        <v>95</v>
      </c>
      <c r="C4" s="11" t="s">
        <v>15</v>
      </c>
      <c r="D4" s="18">
        <v>45728</v>
      </c>
      <c r="E4" s="11" t="s">
        <v>234</v>
      </c>
      <c r="F4" s="11" t="s">
        <v>235</v>
      </c>
      <c r="G4" s="19">
        <v>110000</v>
      </c>
    </row>
    <row r="5" spans="1:7">
      <c r="A5" s="11" t="s">
        <v>75</v>
      </c>
      <c r="B5" s="11" t="s">
        <v>76</v>
      </c>
      <c r="C5" s="11" t="s">
        <v>15</v>
      </c>
      <c r="D5" s="18">
        <v>45728</v>
      </c>
      <c r="E5" s="11" t="s">
        <v>236</v>
      </c>
      <c r="F5" s="11" t="s">
        <v>237</v>
      </c>
      <c r="G5" s="19">
        <v>1584000</v>
      </c>
    </row>
    <row r="6" spans="1:7">
      <c r="A6" s="11" t="s">
        <v>55</v>
      </c>
      <c r="B6" s="11" t="s">
        <v>165</v>
      </c>
      <c r="C6" s="11" t="s">
        <v>13</v>
      </c>
      <c r="D6" s="18">
        <v>45728</v>
      </c>
      <c r="E6" s="11" t="s">
        <v>238</v>
      </c>
      <c r="F6" s="11" t="s">
        <v>239</v>
      </c>
      <c r="G6" s="19">
        <v>250000</v>
      </c>
    </row>
    <row r="7" spans="1:7">
      <c r="A7" s="11" t="s">
        <v>87</v>
      </c>
      <c r="B7" s="11" t="s">
        <v>95</v>
      </c>
      <c r="C7" s="11" t="s">
        <v>15</v>
      </c>
      <c r="D7" s="18">
        <v>45728</v>
      </c>
      <c r="E7" s="11" t="s">
        <v>240</v>
      </c>
      <c r="F7" s="11" t="s">
        <v>241</v>
      </c>
      <c r="G7" s="19">
        <v>165000</v>
      </c>
    </row>
    <row r="8" spans="1:7">
      <c r="A8" s="11" t="s">
        <v>43</v>
      </c>
      <c r="B8" s="11" t="s">
        <v>139</v>
      </c>
      <c r="C8" s="11" t="s">
        <v>15</v>
      </c>
      <c r="D8" s="18">
        <v>45728</v>
      </c>
      <c r="E8" s="11" t="s">
        <v>242</v>
      </c>
      <c r="F8" s="11" t="s">
        <v>243</v>
      </c>
      <c r="G8" s="19">
        <v>25200</v>
      </c>
    </row>
    <row r="9" spans="1:7">
      <c r="A9" s="11" t="s">
        <v>87</v>
      </c>
      <c r="B9" s="11" t="s">
        <v>95</v>
      </c>
      <c r="C9" s="11" t="s">
        <v>15</v>
      </c>
      <c r="D9" s="18">
        <v>45729</v>
      </c>
      <c r="E9" s="11" t="s">
        <v>244</v>
      </c>
      <c r="F9" s="11" t="s">
        <v>245</v>
      </c>
      <c r="G9" s="19">
        <v>1320000</v>
      </c>
    </row>
    <row r="10" spans="1:7">
      <c r="A10" s="11" t="s">
        <v>87</v>
      </c>
      <c r="B10" s="11" t="s">
        <v>95</v>
      </c>
      <c r="C10" s="11" t="s">
        <v>15</v>
      </c>
      <c r="D10" s="18">
        <v>45729</v>
      </c>
      <c r="E10" s="11" t="s">
        <v>246</v>
      </c>
      <c r="F10" s="11" t="s">
        <v>247</v>
      </c>
      <c r="G10" s="19">
        <v>264000</v>
      </c>
    </row>
    <row r="11" spans="1:7">
      <c r="A11" s="11" t="s">
        <v>54</v>
      </c>
      <c r="B11" s="11" t="s">
        <v>158</v>
      </c>
      <c r="C11" s="11" t="s">
        <v>120</v>
      </c>
      <c r="D11" s="18">
        <v>45733</v>
      </c>
      <c r="E11" s="11" t="s">
        <v>248</v>
      </c>
      <c r="F11" s="11" t="s">
        <v>249</v>
      </c>
      <c r="G11" s="19">
        <v>2496000</v>
      </c>
    </row>
    <row r="12" spans="1:7">
      <c r="A12" s="11" t="s">
        <v>72</v>
      </c>
      <c r="B12" s="11" t="s">
        <v>192</v>
      </c>
      <c r="C12" s="11" t="s">
        <v>25</v>
      </c>
      <c r="D12" s="18">
        <v>45733</v>
      </c>
      <c r="E12" s="11" t="s">
        <v>250</v>
      </c>
      <c r="F12" s="11" t="s">
        <v>251</v>
      </c>
      <c r="G12" s="19">
        <v>407000</v>
      </c>
    </row>
    <row r="13" spans="1:7">
      <c r="A13" s="11" t="s">
        <v>72</v>
      </c>
      <c r="B13" s="11" t="s">
        <v>192</v>
      </c>
      <c r="C13" s="11" t="s">
        <v>25</v>
      </c>
      <c r="D13" s="18">
        <v>45733</v>
      </c>
      <c r="E13" s="11" t="s">
        <v>252</v>
      </c>
      <c r="F13" s="11" t="s">
        <v>253</v>
      </c>
      <c r="G13" s="19">
        <v>149000</v>
      </c>
    </row>
    <row r="14" spans="1:7">
      <c r="A14" s="11" t="s">
        <v>104</v>
      </c>
      <c r="B14" s="11" t="s">
        <v>108</v>
      </c>
      <c r="C14" s="11" t="s">
        <v>15</v>
      </c>
      <c r="D14" s="18">
        <v>45733</v>
      </c>
      <c r="E14" s="11" t="s">
        <v>254</v>
      </c>
      <c r="F14" s="11" t="s">
        <v>255</v>
      </c>
      <c r="G14" s="19">
        <v>33000</v>
      </c>
    </row>
    <row r="15" spans="1:7">
      <c r="A15" s="11" t="s">
        <v>87</v>
      </c>
      <c r="B15" s="11" t="s">
        <v>94</v>
      </c>
      <c r="C15" s="11" t="s">
        <v>15</v>
      </c>
      <c r="D15" s="18">
        <v>45736</v>
      </c>
      <c r="E15" s="11" t="s">
        <v>256</v>
      </c>
      <c r="F15" s="11" t="s">
        <v>257</v>
      </c>
      <c r="G15" s="19">
        <v>407000</v>
      </c>
    </row>
    <row r="16" spans="1:7">
      <c r="A16" s="11" t="s">
        <v>104</v>
      </c>
      <c r="B16" s="11" t="s">
        <v>105</v>
      </c>
      <c r="C16" s="11" t="s">
        <v>14</v>
      </c>
      <c r="D16" s="18">
        <v>45737</v>
      </c>
      <c r="E16" s="11" t="s">
        <v>258</v>
      </c>
      <c r="F16" s="11" t="s">
        <v>259</v>
      </c>
      <c r="G16" s="19">
        <v>50000</v>
      </c>
    </row>
    <row r="17" spans="1:7">
      <c r="A17" s="11" t="s">
        <v>104</v>
      </c>
      <c r="B17" s="11" t="s">
        <v>214</v>
      </c>
      <c r="C17" s="11" t="s">
        <v>12</v>
      </c>
      <c r="D17" s="18">
        <v>45737</v>
      </c>
      <c r="E17" s="11" t="s">
        <v>260</v>
      </c>
      <c r="F17" s="11" t="s">
        <v>261</v>
      </c>
      <c r="G17" s="19">
        <v>18000</v>
      </c>
    </row>
    <row r="18" spans="1:7">
      <c r="A18" s="11" t="s">
        <v>104</v>
      </c>
      <c r="B18" s="11" t="s">
        <v>214</v>
      </c>
      <c r="C18" s="11" t="s">
        <v>12</v>
      </c>
      <c r="D18" s="18">
        <v>45737</v>
      </c>
      <c r="E18" s="11" t="s">
        <v>262</v>
      </c>
      <c r="F18" s="11" t="s">
        <v>263</v>
      </c>
      <c r="G18" s="19">
        <v>27000</v>
      </c>
    </row>
    <row r="19" spans="1:7">
      <c r="A19" s="11" t="s">
        <v>87</v>
      </c>
      <c r="B19" s="11" t="s">
        <v>95</v>
      </c>
      <c r="C19" s="11" t="s">
        <v>15</v>
      </c>
      <c r="D19" s="18">
        <v>45737</v>
      </c>
      <c r="E19" s="11" t="s">
        <v>264</v>
      </c>
      <c r="F19" s="11" t="s">
        <v>265</v>
      </c>
      <c r="G19" s="19">
        <v>145900</v>
      </c>
    </row>
    <row r="20" spans="1:7">
      <c r="A20" s="11" t="s">
        <v>144</v>
      </c>
      <c r="B20" s="11" t="s">
        <v>49</v>
      </c>
      <c r="C20" s="11" t="s">
        <v>50</v>
      </c>
      <c r="D20" s="18">
        <v>45737</v>
      </c>
      <c r="E20" s="11" t="s">
        <v>266</v>
      </c>
      <c r="F20" s="11" t="s">
        <v>267</v>
      </c>
      <c r="G20" s="19">
        <v>2588850</v>
      </c>
    </row>
    <row r="21" spans="1:7">
      <c r="A21" s="11" t="s">
        <v>144</v>
      </c>
      <c r="B21" s="11" t="s">
        <v>49</v>
      </c>
      <c r="C21" s="11" t="s">
        <v>50</v>
      </c>
      <c r="D21" s="18">
        <v>45737</v>
      </c>
      <c r="E21" s="11" t="s">
        <v>268</v>
      </c>
      <c r="F21" s="11" t="s">
        <v>267</v>
      </c>
      <c r="G21" s="19">
        <v>987030</v>
      </c>
    </row>
    <row r="22" spans="1:7">
      <c r="A22" s="11" t="s">
        <v>104</v>
      </c>
      <c r="B22" s="11" t="s">
        <v>108</v>
      </c>
      <c r="C22" s="11" t="s">
        <v>15</v>
      </c>
      <c r="D22" s="18">
        <v>45737</v>
      </c>
      <c r="E22" s="11" t="s">
        <v>269</v>
      </c>
      <c r="F22" s="11" t="s">
        <v>270</v>
      </c>
      <c r="G22" s="19">
        <v>250800</v>
      </c>
    </row>
    <row r="23" spans="1:7">
      <c r="A23" s="11" t="s">
        <v>52</v>
      </c>
      <c r="B23" s="11" t="s">
        <v>53</v>
      </c>
      <c r="C23" s="11" t="s">
        <v>13</v>
      </c>
      <c r="D23" s="18">
        <v>45737</v>
      </c>
      <c r="E23" s="11" t="s">
        <v>271</v>
      </c>
      <c r="F23" s="11" t="s">
        <v>272</v>
      </c>
      <c r="G23" s="19">
        <v>121300</v>
      </c>
    </row>
    <row r="24" spans="1:7">
      <c r="A24" s="11" t="s">
        <v>52</v>
      </c>
      <c r="B24" s="11" t="s">
        <v>53</v>
      </c>
      <c r="C24" s="11" t="s">
        <v>13</v>
      </c>
      <c r="D24" s="18">
        <v>45737</v>
      </c>
      <c r="E24" s="11" t="s">
        <v>273</v>
      </c>
      <c r="F24" s="11" t="s">
        <v>272</v>
      </c>
      <c r="G24" s="19">
        <v>57400</v>
      </c>
    </row>
    <row r="25" spans="1:7">
      <c r="A25" s="11" t="s">
        <v>160</v>
      </c>
      <c r="B25" s="11" t="s">
        <v>161</v>
      </c>
      <c r="C25" s="11" t="s">
        <v>13</v>
      </c>
      <c r="D25" s="18">
        <v>45737</v>
      </c>
      <c r="E25" s="11" t="s">
        <v>274</v>
      </c>
      <c r="F25" s="11" t="s">
        <v>270</v>
      </c>
      <c r="G25" s="19">
        <v>3103740</v>
      </c>
    </row>
    <row r="26" spans="1:7">
      <c r="A26" s="11" t="s">
        <v>28</v>
      </c>
      <c r="B26" s="11" t="s">
        <v>29</v>
      </c>
      <c r="C26" s="11" t="s">
        <v>15</v>
      </c>
      <c r="D26" s="18">
        <v>45737</v>
      </c>
      <c r="E26" s="11" t="s">
        <v>275</v>
      </c>
      <c r="F26" s="11" t="s">
        <v>276</v>
      </c>
      <c r="G26" s="19">
        <v>240000</v>
      </c>
    </row>
    <row r="27" spans="1:7">
      <c r="A27" s="11" t="s">
        <v>75</v>
      </c>
      <c r="B27" s="11" t="s">
        <v>76</v>
      </c>
      <c r="C27" s="11" t="s">
        <v>13</v>
      </c>
      <c r="D27" s="18">
        <v>45737</v>
      </c>
      <c r="E27" s="11" t="s">
        <v>277</v>
      </c>
      <c r="F27" s="11" t="s">
        <v>278</v>
      </c>
      <c r="G27" s="19">
        <v>235000</v>
      </c>
    </row>
    <row r="28" spans="1:7">
      <c r="A28" s="11" t="s">
        <v>87</v>
      </c>
      <c r="B28" s="11" t="s">
        <v>95</v>
      </c>
      <c r="C28" s="11" t="s">
        <v>15</v>
      </c>
      <c r="D28" s="18">
        <v>45737</v>
      </c>
      <c r="E28" s="11" t="s">
        <v>279</v>
      </c>
      <c r="F28" s="11" t="s">
        <v>265</v>
      </c>
      <c r="G28" s="19">
        <v>87900</v>
      </c>
    </row>
    <row r="29" spans="1:7">
      <c r="A29" s="11" t="s">
        <v>144</v>
      </c>
      <c r="B29" s="11" t="s">
        <v>49</v>
      </c>
      <c r="C29" s="11" t="s">
        <v>50</v>
      </c>
      <c r="D29" s="18">
        <v>45737</v>
      </c>
      <c r="E29" s="11" t="s">
        <v>280</v>
      </c>
      <c r="F29" s="11" t="s">
        <v>270</v>
      </c>
      <c r="G29" s="19">
        <v>93000</v>
      </c>
    </row>
    <row r="30" spans="1:7">
      <c r="A30" s="11" t="s">
        <v>87</v>
      </c>
      <c r="B30" s="11" t="s">
        <v>95</v>
      </c>
      <c r="C30" s="11" t="s">
        <v>15</v>
      </c>
      <c r="D30" s="18">
        <v>45737</v>
      </c>
      <c r="E30" s="11" t="s">
        <v>281</v>
      </c>
      <c r="F30" s="11" t="s">
        <v>265</v>
      </c>
      <c r="G30" s="19">
        <v>468700</v>
      </c>
    </row>
    <row r="31" spans="1:7">
      <c r="A31" s="11" t="s">
        <v>55</v>
      </c>
      <c r="B31" s="11" t="s">
        <v>165</v>
      </c>
      <c r="C31" s="11" t="s">
        <v>13</v>
      </c>
      <c r="D31" s="18">
        <v>45737</v>
      </c>
      <c r="E31" s="11" t="s">
        <v>282</v>
      </c>
      <c r="F31" s="11" t="s">
        <v>283</v>
      </c>
      <c r="G31" s="19">
        <v>299000</v>
      </c>
    </row>
    <row r="32" spans="1:7">
      <c r="A32" s="11" t="s">
        <v>104</v>
      </c>
      <c r="B32" s="11" t="s">
        <v>108</v>
      </c>
      <c r="C32" s="11" t="s">
        <v>12</v>
      </c>
      <c r="D32" s="18">
        <v>45737</v>
      </c>
      <c r="E32" s="11" t="s">
        <v>284</v>
      </c>
      <c r="F32" s="11" t="s">
        <v>285</v>
      </c>
      <c r="G32" s="19">
        <v>9000</v>
      </c>
    </row>
    <row r="33" spans="1:7">
      <c r="A33" s="11" t="s">
        <v>144</v>
      </c>
      <c r="B33" s="11" t="s">
        <v>49</v>
      </c>
      <c r="C33" s="11" t="s">
        <v>50</v>
      </c>
      <c r="D33" s="18">
        <v>45737</v>
      </c>
      <c r="E33" s="11" t="s">
        <v>286</v>
      </c>
      <c r="F33" s="11" t="s">
        <v>287</v>
      </c>
      <c r="G33" s="19">
        <v>1627290</v>
      </c>
    </row>
    <row r="34" spans="1:7">
      <c r="A34" s="11" t="s">
        <v>52</v>
      </c>
      <c r="B34" s="11" t="s">
        <v>53</v>
      </c>
      <c r="C34" s="11" t="s">
        <v>13</v>
      </c>
      <c r="D34" s="18">
        <v>45737</v>
      </c>
      <c r="E34" s="11" t="s">
        <v>288</v>
      </c>
      <c r="F34" s="11" t="s">
        <v>272</v>
      </c>
      <c r="G34" s="19">
        <v>497500</v>
      </c>
    </row>
    <row r="35" spans="1:7">
      <c r="A35" s="11" t="s">
        <v>52</v>
      </c>
      <c r="B35" s="11" t="s">
        <v>53</v>
      </c>
      <c r="C35" s="11" t="s">
        <v>13</v>
      </c>
      <c r="D35" s="18">
        <v>45737</v>
      </c>
      <c r="E35" s="11" t="s">
        <v>289</v>
      </c>
      <c r="F35" s="11" t="s">
        <v>272</v>
      </c>
      <c r="G35" s="19">
        <v>183400</v>
      </c>
    </row>
    <row r="36" spans="1:7">
      <c r="A36" s="11" t="s">
        <v>104</v>
      </c>
      <c r="B36" s="11" t="s">
        <v>108</v>
      </c>
      <c r="C36" s="11" t="s">
        <v>12</v>
      </c>
      <c r="D36" s="18">
        <v>45737</v>
      </c>
      <c r="E36" s="11" t="s">
        <v>290</v>
      </c>
      <c r="F36" s="11" t="s">
        <v>291</v>
      </c>
      <c r="G36" s="19">
        <v>18000</v>
      </c>
    </row>
    <row r="37" spans="1:7">
      <c r="A37" s="11" t="s">
        <v>55</v>
      </c>
      <c r="B37" s="11" t="s">
        <v>165</v>
      </c>
      <c r="C37" s="11" t="s">
        <v>13</v>
      </c>
      <c r="D37" s="18">
        <v>45737</v>
      </c>
      <c r="E37" s="11" t="s">
        <v>292</v>
      </c>
      <c r="F37" s="11" t="s">
        <v>283</v>
      </c>
      <c r="G37" s="19">
        <v>102000</v>
      </c>
    </row>
    <row r="38" spans="1:7">
      <c r="A38" s="11" t="s">
        <v>104</v>
      </c>
      <c r="B38" s="11" t="s">
        <v>214</v>
      </c>
      <c r="C38" s="11" t="s">
        <v>15</v>
      </c>
      <c r="D38" s="18">
        <v>45737</v>
      </c>
      <c r="E38" s="11" t="s">
        <v>293</v>
      </c>
      <c r="F38" s="11" t="s">
        <v>270</v>
      </c>
      <c r="G38" s="19">
        <v>77500</v>
      </c>
    </row>
    <row r="39" spans="1:7">
      <c r="A39" s="11" t="s">
        <v>104</v>
      </c>
      <c r="B39" s="11" t="s">
        <v>214</v>
      </c>
      <c r="C39" s="11" t="s">
        <v>14</v>
      </c>
      <c r="D39" s="18">
        <v>45737</v>
      </c>
      <c r="E39" s="11" t="s">
        <v>293</v>
      </c>
      <c r="F39" s="11" t="s">
        <v>270</v>
      </c>
      <c r="G39" s="19">
        <v>62760</v>
      </c>
    </row>
    <row r="40" spans="1:7">
      <c r="A40" s="11" t="s">
        <v>144</v>
      </c>
      <c r="B40" s="11" t="s">
        <v>49</v>
      </c>
      <c r="C40" s="11" t="s">
        <v>50</v>
      </c>
      <c r="D40" s="18">
        <v>45737</v>
      </c>
      <c r="E40" s="11" t="s">
        <v>294</v>
      </c>
      <c r="F40" s="11" t="s">
        <v>295</v>
      </c>
      <c r="G40" s="19">
        <v>87800</v>
      </c>
    </row>
    <row r="41" spans="1:7">
      <c r="A41" s="11" t="s">
        <v>104</v>
      </c>
      <c r="B41" s="11" t="s">
        <v>105</v>
      </c>
      <c r="C41" s="11" t="s">
        <v>14</v>
      </c>
      <c r="D41" s="18">
        <v>45737</v>
      </c>
      <c r="E41" s="11" t="s">
        <v>296</v>
      </c>
      <c r="F41" s="11" t="s">
        <v>297</v>
      </c>
      <c r="G41" s="19">
        <v>50000</v>
      </c>
    </row>
    <row r="42" spans="1:7">
      <c r="A42" s="11" t="s">
        <v>104</v>
      </c>
      <c r="B42" s="11" t="s">
        <v>105</v>
      </c>
      <c r="C42" s="11" t="s">
        <v>14</v>
      </c>
      <c r="D42" s="18">
        <v>45737</v>
      </c>
      <c r="E42" s="11" t="s">
        <v>298</v>
      </c>
      <c r="F42" s="11" t="s">
        <v>299</v>
      </c>
      <c r="G42" s="19">
        <v>50000</v>
      </c>
    </row>
    <row r="43" spans="1:7">
      <c r="A43" s="11" t="s">
        <v>87</v>
      </c>
      <c r="B43" s="11" t="s">
        <v>88</v>
      </c>
      <c r="C43" s="11" t="s">
        <v>92</v>
      </c>
      <c r="D43" s="18">
        <v>45737</v>
      </c>
      <c r="E43" s="11" t="s">
        <v>300</v>
      </c>
      <c r="F43" s="11" t="s">
        <v>224</v>
      </c>
      <c r="G43" s="19">
        <v>11320</v>
      </c>
    </row>
    <row r="44" spans="1:7">
      <c r="A44" s="11" t="s">
        <v>87</v>
      </c>
      <c r="B44" s="11" t="s">
        <v>95</v>
      </c>
      <c r="C44" s="11" t="s">
        <v>15</v>
      </c>
      <c r="D44" s="18">
        <v>45740</v>
      </c>
      <c r="E44" s="11" t="s">
        <v>301</v>
      </c>
      <c r="F44" s="11" t="s">
        <v>302</v>
      </c>
      <c r="G44" s="19">
        <v>10000</v>
      </c>
    </row>
    <row r="45" spans="1:7">
      <c r="A45" s="11" t="s">
        <v>17</v>
      </c>
      <c r="B45" s="11" t="s">
        <v>117</v>
      </c>
      <c r="C45" s="11" t="s">
        <v>12</v>
      </c>
      <c r="D45" s="18">
        <v>45740</v>
      </c>
      <c r="E45" s="11" t="s">
        <v>301</v>
      </c>
      <c r="F45" s="11" t="s">
        <v>302</v>
      </c>
      <c r="G45" s="19">
        <v>1350000</v>
      </c>
    </row>
    <row r="46" spans="1:7">
      <c r="A46" s="11" t="s">
        <v>87</v>
      </c>
      <c r="B46" s="11" t="s">
        <v>95</v>
      </c>
      <c r="C46" s="11" t="s">
        <v>15</v>
      </c>
      <c r="D46" s="18">
        <v>45740</v>
      </c>
      <c r="E46" s="11" t="s">
        <v>303</v>
      </c>
      <c r="F46" s="11" t="s">
        <v>304</v>
      </c>
      <c r="G46" s="19">
        <v>880000</v>
      </c>
    </row>
    <row r="47" spans="1:7">
      <c r="A47" s="11" t="s">
        <v>130</v>
      </c>
      <c r="B47" s="11" t="s">
        <v>36</v>
      </c>
      <c r="C47" s="11" t="s">
        <v>34</v>
      </c>
      <c r="D47" s="18">
        <v>45740</v>
      </c>
      <c r="E47" s="11" t="s">
        <v>305</v>
      </c>
      <c r="F47" s="11" t="s">
        <v>306</v>
      </c>
      <c r="G47" s="19">
        <v>546950</v>
      </c>
    </row>
    <row r="48" spans="1:7">
      <c r="A48" s="11" t="s">
        <v>87</v>
      </c>
      <c r="B48" s="11" t="s">
        <v>94</v>
      </c>
      <c r="C48" s="11" t="s">
        <v>15</v>
      </c>
      <c r="D48" s="18">
        <v>45740</v>
      </c>
      <c r="E48" s="11" t="s">
        <v>307</v>
      </c>
      <c r="F48" s="11" t="s">
        <v>308</v>
      </c>
      <c r="G48" s="19">
        <v>42350</v>
      </c>
    </row>
    <row r="49" spans="1:7">
      <c r="A49" s="11" t="s">
        <v>75</v>
      </c>
      <c r="B49" s="11" t="s">
        <v>195</v>
      </c>
      <c r="C49" s="11" t="s">
        <v>15</v>
      </c>
      <c r="D49" s="18">
        <v>45740</v>
      </c>
      <c r="E49" s="11" t="s">
        <v>309</v>
      </c>
      <c r="F49" s="11" t="s">
        <v>225</v>
      </c>
      <c r="G49" s="19">
        <v>297000</v>
      </c>
    </row>
    <row r="50" spans="1:7">
      <c r="A50" s="11" t="s">
        <v>28</v>
      </c>
      <c r="B50" s="11" t="s">
        <v>29</v>
      </c>
      <c r="C50" s="11" t="s">
        <v>15</v>
      </c>
      <c r="D50" s="18">
        <v>45740</v>
      </c>
      <c r="E50" s="11" t="s">
        <v>310</v>
      </c>
      <c r="F50" s="11" t="s">
        <v>311</v>
      </c>
      <c r="G50" s="19">
        <v>286000</v>
      </c>
    </row>
    <row r="51" spans="1:7">
      <c r="A51" s="11" t="s">
        <v>87</v>
      </c>
      <c r="B51" s="11" t="s">
        <v>96</v>
      </c>
      <c r="C51" s="11" t="s">
        <v>15</v>
      </c>
      <c r="D51" s="18">
        <v>45740</v>
      </c>
      <c r="E51" s="11" t="s">
        <v>312</v>
      </c>
      <c r="F51" s="11" t="s">
        <v>313</v>
      </c>
      <c r="G51" s="19">
        <v>790000</v>
      </c>
    </row>
    <row r="52" spans="1:7">
      <c r="A52" s="11" t="s">
        <v>168</v>
      </c>
      <c r="B52" s="11" t="s">
        <v>169</v>
      </c>
      <c r="C52" s="11" t="s">
        <v>15</v>
      </c>
      <c r="D52" s="18">
        <v>45740</v>
      </c>
      <c r="E52" s="11" t="s">
        <v>314</v>
      </c>
      <c r="F52" s="11" t="s">
        <v>315</v>
      </c>
      <c r="G52" s="19">
        <v>42300</v>
      </c>
    </row>
    <row r="53" spans="1:7">
      <c r="A53" s="11" t="s">
        <v>130</v>
      </c>
      <c r="B53" s="11" t="s">
        <v>132</v>
      </c>
      <c r="C53" s="11" t="s">
        <v>15</v>
      </c>
      <c r="D53" s="18">
        <v>45741</v>
      </c>
      <c r="E53" s="11" t="s">
        <v>316</v>
      </c>
      <c r="F53" s="11" t="s">
        <v>317</v>
      </c>
      <c r="G53" s="19">
        <v>450000</v>
      </c>
    </row>
    <row r="54" spans="1:7">
      <c r="A54" s="11" t="s">
        <v>28</v>
      </c>
      <c r="B54" s="11" t="s">
        <v>126</v>
      </c>
      <c r="C54" s="11" t="s">
        <v>15</v>
      </c>
      <c r="D54" s="18">
        <v>45741</v>
      </c>
      <c r="E54" s="11" t="s">
        <v>318</v>
      </c>
      <c r="F54" s="11" t="s">
        <v>319</v>
      </c>
      <c r="G54" s="19">
        <v>816200</v>
      </c>
    </row>
    <row r="55" spans="1:7">
      <c r="A55" s="11" t="s">
        <v>28</v>
      </c>
      <c r="B55" s="11" t="s">
        <v>29</v>
      </c>
      <c r="C55" s="11" t="s">
        <v>30</v>
      </c>
      <c r="D55" s="18">
        <v>45741</v>
      </c>
      <c r="E55" s="11" t="s">
        <v>320</v>
      </c>
      <c r="F55" s="11" t="s">
        <v>321</v>
      </c>
      <c r="G55" s="19">
        <v>170020</v>
      </c>
    </row>
    <row r="56" spans="1:7">
      <c r="A56" s="11" t="s">
        <v>87</v>
      </c>
      <c r="B56" s="11" t="s">
        <v>88</v>
      </c>
      <c r="C56" s="11" t="s">
        <v>92</v>
      </c>
      <c r="D56" s="18">
        <v>45741</v>
      </c>
      <c r="E56" s="11" t="s">
        <v>322</v>
      </c>
      <c r="F56" s="11" t="s">
        <v>323</v>
      </c>
      <c r="G56" s="19">
        <v>13200</v>
      </c>
    </row>
    <row r="57" spans="1:7">
      <c r="A57" s="11" t="s">
        <v>87</v>
      </c>
      <c r="B57" s="11" t="s">
        <v>30</v>
      </c>
      <c r="C57" s="11" t="s">
        <v>30</v>
      </c>
      <c r="D57" s="18">
        <v>45741</v>
      </c>
      <c r="E57" s="11" t="s">
        <v>324</v>
      </c>
      <c r="F57" s="11" t="s">
        <v>321</v>
      </c>
      <c r="G57" s="19">
        <v>6737900</v>
      </c>
    </row>
    <row r="58" spans="1:7">
      <c r="A58" s="11" t="s">
        <v>87</v>
      </c>
      <c r="B58" s="11" t="s">
        <v>95</v>
      </c>
      <c r="C58" s="11" t="s">
        <v>15</v>
      </c>
      <c r="D58" s="18">
        <v>45741</v>
      </c>
      <c r="E58" s="11" t="s">
        <v>325</v>
      </c>
      <c r="F58" s="11" t="s">
        <v>326</v>
      </c>
      <c r="G58" s="19">
        <v>267320</v>
      </c>
    </row>
    <row r="59" spans="1:7">
      <c r="A59" s="11" t="s">
        <v>22</v>
      </c>
      <c r="B59" s="11" t="s">
        <v>119</v>
      </c>
      <c r="C59" s="11" t="s">
        <v>120</v>
      </c>
      <c r="D59" s="18">
        <v>45742</v>
      </c>
      <c r="E59" s="11" t="s">
        <v>327</v>
      </c>
      <c r="F59" s="11" t="s">
        <v>328</v>
      </c>
      <c r="G59" s="19">
        <v>99040</v>
      </c>
    </row>
    <row r="60" spans="1:7">
      <c r="A60" s="11" t="s">
        <v>87</v>
      </c>
      <c r="B60" s="11" t="s">
        <v>88</v>
      </c>
      <c r="C60" s="11" t="s">
        <v>92</v>
      </c>
      <c r="D60" s="18">
        <v>45742</v>
      </c>
      <c r="E60" s="11" t="s">
        <v>329</v>
      </c>
      <c r="F60" s="11" t="s">
        <v>330</v>
      </c>
      <c r="G60" s="19">
        <v>719280</v>
      </c>
    </row>
    <row r="61" spans="1:7">
      <c r="A61" s="11" t="s">
        <v>38</v>
      </c>
      <c r="B61" s="11" t="s">
        <v>39</v>
      </c>
      <c r="C61" s="11" t="s">
        <v>15</v>
      </c>
      <c r="D61" s="18">
        <v>45742</v>
      </c>
      <c r="E61" s="11" t="s">
        <v>331</v>
      </c>
      <c r="F61" s="11" t="s">
        <v>330</v>
      </c>
      <c r="G61" s="19">
        <v>16500</v>
      </c>
    </row>
    <row r="62" spans="1:7">
      <c r="A62" s="11" t="s">
        <v>87</v>
      </c>
      <c r="B62" s="11" t="s">
        <v>95</v>
      </c>
      <c r="C62" s="11" t="s">
        <v>15</v>
      </c>
      <c r="D62" s="18">
        <v>45742</v>
      </c>
      <c r="E62" s="11" t="s">
        <v>332</v>
      </c>
      <c r="F62" s="11" t="s">
        <v>333</v>
      </c>
      <c r="G62" s="19">
        <v>496000</v>
      </c>
    </row>
    <row r="63" spans="1:7">
      <c r="A63" s="11" t="s">
        <v>87</v>
      </c>
      <c r="B63" s="11" t="s">
        <v>95</v>
      </c>
      <c r="C63" s="11" t="s">
        <v>15</v>
      </c>
      <c r="D63" s="18">
        <v>45742</v>
      </c>
      <c r="E63" s="11" t="s">
        <v>334</v>
      </c>
      <c r="F63" s="11" t="s">
        <v>335</v>
      </c>
      <c r="G63" s="19">
        <v>858600</v>
      </c>
    </row>
    <row r="64" spans="1:7">
      <c r="A64" s="11" t="s">
        <v>173</v>
      </c>
      <c r="B64" s="11" t="s">
        <v>177</v>
      </c>
      <c r="C64" s="11" t="s">
        <v>15</v>
      </c>
      <c r="D64" s="18">
        <v>45743</v>
      </c>
      <c r="E64" s="11" t="s">
        <v>336</v>
      </c>
      <c r="F64" s="11" t="s">
        <v>265</v>
      </c>
      <c r="G64" s="19">
        <v>489000</v>
      </c>
    </row>
    <row r="65" spans="1:7">
      <c r="A65" s="11" t="s">
        <v>22</v>
      </c>
      <c r="B65" s="11" t="s">
        <v>119</v>
      </c>
      <c r="C65" s="11" t="s">
        <v>120</v>
      </c>
      <c r="D65" s="18">
        <v>45744</v>
      </c>
      <c r="E65" s="11" t="s">
        <v>337</v>
      </c>
      <c r="F65" s="11" t="s">
        <v>338</v>
      </c>
      <c r="G65" s="19">
        <v>60700</v>
      </c>
    </row>
    <row r="66" spans="1:7">
      <c r="A66" s="11" t="s">
        <v>87</v>
      </c>
      <c r="B66" s="11" t="s">
        <v>94</v>
      </c>
      <c r="C66" s="11" t="s">
        <v>15</v>
      </c>
      <c r="D66" s="18">
        <v>45744</v>
      </c>
      <c r="E66" s="11" t="s">
        <v>339</v>
      </c>
      <c r="F66" s="11" t="s">
        <v>340</v>
      </c>
      <c r="G66" s="19">
        <v>198000</v>
      </c>
    </row>
    <row r="67" spans="1:7">
      <c r="A67" s="11" t="s">
        <v>87</v>
      </c>
      <c r="B67" s="11" t="s">
        <v>94</v>
      </c>
      <c r="C67" s="11" t="s">
        <v>15</v>
      </c>
      <c r="D67" s="18">
        <v>45744</v>
      </c>
      <c r="E67" s="11" t="s">
        <v>341</v>
      </c>
      <c r="F67" s="11" t="s">
        <v>342</v>
      </c>
      <c r="G67" s="19">
        <v>660000</v>
      </c>
    </row>
    <row r="68" spans="1:7">
      <c r="A68" s="11" t="s">
        <v>75</v>
      </c>
      <c r="B68" s="11" t="s">
        <v>76</v>
      </c>
      <c r="C68" s="11" t="s">
        <v>15</v>
      </c>
      <c r="D68" s="18">
        <v>45744</v>
      </c>
      <c r="E68" s="11" t="s">
        <v>343</v>
      </c>
      <c r="F68" s="11" t="s">
        <v>344</v>
      </c>
      <c r="G68" s="19">
        <v>1166000</v>
      </c>
    </row>
    <row r="69" spans="1:7">
      <c r="A69" s="11" t="s">
        <v>87</v>
      </c>
      <c r="B69" s="11" t="s">
        <v>94</v>
      </c>
      <c r="C69" s="11" t="s">
        <v>15</v>
      </c>
      <c r="D69" s="18">
        <v>45744</v>
      </c>
      <c r="E69" s="11" t="s">
        <v>345</v>
      </c>
      <c r="F69" s="11" t="s">
        <v>346</v>
      </c>
      <c r="G69" s="19">
        <v>330000</v>
      </c>
    </row>
    <row r="70" spans="1:7">
      <c r="A70" s="11" t="s">
        <v>38</v>
      </c>
      <c r="B70" s="11" t="s">
        <v>138</v>
      </c>
      <c r="C70" s="11" t="s">
        <v>15</v>
      </c>
      <c r="D70" s="18">
        <v>45744</v>
      </c>
      <c r="E70" s="11" t="s">
        <v>347</v>
      </c>
      <c r="F70" s="11" t="s">
        <v>348</v>
      </c>
      <c r="G70" s="19">
        <v>1381600</v>
      </c>
    </row>
    <row r="71" spans="1:7">
      <c r="A71" s="11" t="s">
        <v>87</v>
      </c>
      <c r="B71" s="11" t="s">
        <v>97</v>
      </c>
      <c r="C71" s="11" t="s">
        <v>15</v>
      </c>
      <c r="D71" s="18">
        <v>45744</v>
      </c>
      <c r="E71" s="11" t="s">
        <v>349</v>
      </c>
      <c r="F71" s="11" t="s">
        <v>350</v>
      </c>
      <c r="G71" s="19">
        <v>4551520</v>
      </c>
    </row>
    <row r="72" spans="1:7">
      <c r="A72" s="11" t="s">
        <v>87</v>
      </c>
      <c r="B72" s="11" t="s">
        <v>94</v>
      </c>
      <c r="C72" s="11" t="s">
        <v>15</v>
      </c>
      <c r="D72" s="18">
        <v>45744</v>
      </c>
      <c r="E72" s="11" t="s">
        <v>351</v>
      </c>
      <c r="F72" s="11" t="s">
        <v>352</v>
      </c>
      <c r="G72" s="19">
        <v>4096220</v>
      </c>
    </row>
    <row r="73" spans="1:7">
      <c r="A73" s="11" t="s">
        <v>22</v>
      </c>
      <c r="B73" s="11" t="s">
        <v>119</v>
      </c>
      <c r="C73" s="11" t="s">
        <v>120</v>
      </c>
      <c r="D73" s="18">
        <v>45744</v>
      </c>
      <c r="E73" s="11" t="s">
        <v>353</v>
      </c>
      <c r="F73" s="11" t="s">
        <v>354</v>
      </c>
      <c r="G73" s="19">
        <v>72840</v>
      </c>
    </row>
    <row r="74" spans="1:7">
      <c r="A74" s="11" t="s">
        <v>22</v>
      </c>
      <c r="B74" s="11" t="s">
        <v>119</v>
      </c>
      <c r="C74" s="11" t="s">
        <v>120</v>
      </c>
      <c r="D74" s="18">
        <v>45744</v>
      </c>
      <c r="E74" s="11" t="s">
        <v>355</v>
      </c>
      <c r="F74" s="11" t="s">
        <v>356</v>
      </c>
      <c r="G74" s="19">
        <v>393340</v>
      </c>
    </row>
    <row r="75" spans="1:7">
      <c r="A75" s="11" t="s">
        <v>22</v>
      </c>
      <c r="B75" s="11" t="s">
        <v>119</v>
      </c>
      <c r="C75" s="11" t="s">
        <v>120</v>
      </c>
      <c r="D75" s="18">
        <v>45744</v>
      </c>
      <c r="E75" s="11" t="s">
        <v>357</v>
      </c>
      <c r="F75" s="11" t="s">
        <v>358</v>
      </c>
      <c r="G75" s="19">
        <v>48950</v>
      </c>
    </row>
    <row r="76" spans="1:7">
      <c r="A76" s="11" t="s">
        <v>87</v>
      </c>
      <c r="B76" s="11" t="s">
        <v>95</v>
      </c>
      <c r="C76" s="11" t="s">
        <v>15</v>
      </c>
      <c r="D76" s="18">
        <v>45744</v>
      </c>
      <c r="E76" s="11" t="s">
        <v>359</v>
      </c>
      <c r="F76" s="11" t="s">
        <v>360</v>
      </c>
      <c r="G76" s="19">
        <v>76000</v>
      </c>
    </row>
    <row r="77" spans="1:7">
      <c r="A77" s="11" t="s">
        <v>65</v>
      </c>
      <c r="B77" s="11" t="s">
        <v>67</v>
      </c>
      <c r="C77" s="11" t="s">
        <v>15</v>
      </c>
      <c r="D77" s="18">
        <v>45744</v>
      </c>
      <c r="E77" s="11" t="s">
        <v>361</v>
      </c>
      <c r="F77" s="11" t="s">
        <v>362</v>
      </c>
      <c r="G77" s="19">
        <v>400000</v>
      </c>
    </row>
    <row r="78" spans="1:7">
      <c r="A78" s="11" t="s">
        <v>104</v>
      </c>
      <c r="B78" s="11" t="s">
        <v>108</v>
      </c>
      <c r="C78" s="11" t="s">
        <v>92</v>
      </c>
      <c r="D78" s="18">
        <v>45744</v>
      </c>
      <c r="E78" s="11" t="s">
        <v>363</v>
      </c>
      <c r="F78" s="11" t="s">
        <v>364</v>
      </c>
      <c r="G78" s="19">
        <v>20000</v>
      </c>
    </row>
    <row r="79" spans="1:7">
      <c r="A79" s="11" t="s">
        <v>22</v>
      </c>
      <c r="B79" s="11" t="s">
        <v>119</v>
      </c>
      <c r="C79" s="11" t="s">
        <v>120</v>
      </c>
      <c r="D79" s="18">
        <v>45747</v>
      </c>
      <c r="E79" s="11" t="s">
        <v>365</v>
      </c>
      <c r="F79" s="11" t="s">
        <v>366</v>
      </c>
      <c r="G79" s="19">
        <v>8226270</v>
      </c>
    </row>
    <row r="80" spans="1:7">
      <c r="A80" s="11" t="s">
        <v>200</v>
      </c>
      <c r="B80" s="11" t="s">
        <v>201</v>
      </c>
      <c r="C80" s="11" t="s">
        <v>120</v>
      </c>
      <c r="D80" s="18">
        <v>45747</v>
      </c>
      <c r="E80" s="11" t="s">
        <v>367</v>
      </c>
      <c r="F80" s="11" t="s">
        <v>368</v>
      </c>
      <c r="G80" s="19">
        <v>4416540</v>
      </c>
    </row>
    <row r="81" spans="1:7">
      <c r="A81" s="11" t="s">
        <v>109</v>
      </c>
      <c r="B81" s="11" t="s">
        <v>215</v>
      </c>
      <c r="C81" s="11" t="s">
        <v>120</v>
      </c>
      <c r="D81" s="18">
        <v>45747</v>
      </c>
      <c r="E81" s="11" t="s">
        <v>369</v>
      </c>
      <c r="F81" s="11" t="s">
        <v>370</v>
      </c>
      <c r="G81" s="19">
        <v>922640</v>
      </c>
    </row>
    <row r="82" spans="1:7">
      <c r="A82" s="11" t="s">
        <v>55</v>
      </c>
      <c r="B82" s="11" t="s">
        <v>163</v>
      </c>
      <c r="C82" s="11" t="s">
        <v>120</v>
      </c>
      <c r="D82" s="18">
        <v>45747</v>
      </c>
      <c r="E82" s="11" t="s">
        <v>371</v>
      </c>
      <c r="F82" s="11" t="s">
        <v>372</v>
      </c>
      <c r="G82" s="19">
        <v>2330880</v>
      </c>
    </row>
    <row r="83" spans="1:7">
      <c r="A83" s="11" t="s">
        <v>173</v>
      </c>
      <c r="B83" s="11" t="s">
        <v>179</v>
      </c>
      <c r="C83" s="11" t="s">
        <v>13</v>
      </c>
      <c r="D83" s="18">
        <v>45747</v>
      </c>
      <c r="E83" s="11" t="s">
        <v>373</v>
      </c>
      <c r="F83" s="11" t="s">
        <v>374</v>
      </c>
      <c r="G83" s="19">
        <v>460000</v>
      </c>
    </row>
    <row r="84" spans="1:7">
      <c r="A84" s="11" t="s">
        <v>99</v>
      </c>
      <c r="B84" s="11" t="s">
        <v>99</v>
      </c>
      <c r="C84" s="11" t="s">
        <v>44</v>
      </c>
      <c r="D84" s="18">
        <v>45747</v>
      </c>
      <c r="E84" s="11" t="s">
        <v>375</v>
      </c>
      <c r="F84" s="11" t="s">
        <v>376</v>
      </c>
      <c r="G84" s="19">
        <v>20000</v>
      </c>
    </row>
    <row r="85" spans="1:7">
      <c r="A85" s="11" t="s">
        <v>87</v>
      </c>
      <c r="B85" s="11" t="s">
        <v>89</v>
      </c>
      <c r="C85" s="11" t="s">
        <v>89</v>
      </c>
      <c r="D85" s="18">
        <v>45747</v>
      </c>
      <c r="E85" s="11" t="s">
        <v>377</v>
      </c>
      <c r="F85" s="11" t="s">
        <v>378</v>
      </c>
      <c r="G85" s="19">
        <v>2500</v>
      </c>
    </row>
    <row r="86" spans="1:7">
      <c r="A86" s="11" t="s">
        <v>87</v>
      </c>
      <c r="B86" s="11" t="s">
        <v>90</v>
      </c>
      <c r="C86" s="11" t="s">
        <v>90</v>
      </c>
      <c r="D86" s="18">
        <v>45747</v>
      </c>
      <c r="E86" s="11" t="s">
        <v>379</v>
      </c>
      <c r="F86" s="11" t="s">
        <v>380</v>
      </c>
      <c r="G86" s="19">
        <v>1567640</v>
      </c>
    </row>
    <row r="87" spans="1:7">
      <c r="A87" s="11" t="s">
        <v>87</v>
      </c>
      <c r="B87" s="11" t="s">
        <v>89</v>
      </c>
      <c r="C87" s="11" t="s">
        <v>89</v>
      </c>
      <c r="D87" s="18">
        <v>45747</v>
      </c>
      <c r="E87" s="11" t="s">
        <v>381</v>
      </c>
      <c r="F87" s="11" t="s">
        <v>382</v>
      </c>
      <c r="G87" s="19">
        <v>4491130</v>
      </c>
    </row>
    <row r="88" spans="1:7">
      <c r="A88" s="11" t="s">
        <v>87</v>
      </c>
      <c r="B88" s="11" t="s">
        <v>210</v>
      </c>
      <c r="C88" s="11" t="s">
        <v>15</v>
      </c>
      <c r="D88" s="18">
        <v>45747</v>
      </c>
      <c r="E88" s="11" t="s">
        <v>383</v>
      </c>
      <c r="F88" s="11" t="s">
        <v>384</v>
      </c>
      <c r="G88" s="19">
        <v>5864240</v>
      </c>
    </row>
    <row r="89" spans="1:7">
      <c r="A89" s="11" t="s">
        <v>104</v>
      </c>
      <c r="B89" s="11" t="s">
        <v>105</v>
      </c>
      <c r="C89" s="11" t="s">
        <v>107</v>
      </c>
      <c r="D89" s="18">
        <v>45748</v>
      </c>
      <c r="E89" s="11" t="s">
        <v>385</v>
      </c>
      <c r="F89" s="11" t="s">
        <v>231</v>
      </c>
      <c r="G89" s="19">
        <v>370000</v>
      </c>
    </row>
    <row r="90" spans="1:7">
      <c r="A90" s="11" t="s">
        <v>104</v>
      </c>
      <c r="B90" s="11" t="s">
        <v>105</v>
      </c>
      <c r="C90" s="11" t="s">
        <v>14</v>
      </c>
      <c r="D90" s="18">
        <v>45748</v>
      </c>
      <c r="E90" s="11" t="s">
        <v>386</v>
      </c>
      <c r="F90" s="11" t="s">
        <v>387</v>
      </c>
      <c r="G90" s="19">
        <v>50000</v>
      </c>
    </row>
    <row r="91" spans="1:7">
      <c r="A91" s="11" t="s">
        <v>173</v>
      </c>
      <c r="B91" s="11" t="s">
        <v>178</v>
      </c>
      <c r="C91" s="11" t="s">
        <v>13</v>
      </c>
      <c r="D91" s="18">
        <v>45748</v>
      </c>
      <c r="E91" s="11" t="s">
        <v>388</v>
      </c>
      <c r="F91" s="11" t="s">
        <v>389</v>
      </c>
      <c r="G91" s="19">
        <v>6950000</v>
      </c>
    </row>
    <row r="92" spans="1:7">
      <c r="A92" s="11" t="s">
        <v>173</v>
      </c>
      <c r="B92" s="11" t="s">
        <v>174</v>
      </c>
      <c r="C92" s="11" t="s">
        <v>13</v>
      </c>
      <c r="D92" s="18">
        <v>45748</v>
      </c>
      <c r="E92" s="11" t="s">
        <v>390</v>
      </c>
      <c r="F92" s="11" t="s">
        <v>391</v>
      </c>
      <c r="G92" s="19">
        <v>600000</v>
      </c>
    </row>
    <row r="93" spans="1:7">
      <c r="A93" s="11" t="s">
        <v>173</v>
      </c>
      <c r="B93" s="11" t="s">
        <v>175</v>
      </c>
      <c r="C93" s="11" t="s">
        <v>13</v>
      </c>
      <c r="D93" s="18">
        <v>45748</v>
      </c>
      <c r="E93" s="11" t="s">
        <v>392</v>
      </c>
      <c r="F93" s="11" t="s">
        <v>393</v>
      </c>
      <c r="G93" s="19">
        <v>600000</v>
      </c>
    </row>
    <row r="94" spans="1:7">
      <c r="A94" s="11" t="s">
        <v>173</v>
      </c>
      <c r="B94" s="11" t="s">
        <v>176</v>
      </c>
      <c r="C94" s="11" t="s">
        <v>13</v>
      </c>
      <c r="D94" s="18">
        <v>45748</v>
      </c>
      <c r="E94" s="11" t="s">
        <v>392</v>
      </c>
      <c r="F94" s="11" t="s">
        <v>394</v>
      </c>
      <c r="G94" s="19">
        <v>374000</v>
      </c>
    </row>
    <row r="95" spans="1:7">
      <c r="A95" s="11" t="s">
        <v>104</v>
      </c>
      <c r="B95" s="11" t="s">
        <v>108</v>
      </c>
      <c r="C95" s="11" t="s">
        <v>15</v>
      </c>
      <c r="D95" s="18">
        <v>45748</v>
      </c>
      <c r="E95" s="11" t="s">
        <v>395</v>
      </c>
      <c r="F95" s="11" t="s">
        <v>396</v>
      </c>
      <c r="G95" s="19">
        <v>10000</v>
      </c>
    </row>
    <row r="96" spans="1:7">
      <c r="A96" s="11" t="s">
        <v>144</v>
      </c>
      <c r="B96" s="11" t="s">
        <v>150</v>
      </c>
      <c r="C96" s="11" t="s">
        <v>25</v>
      </c>
      <c r="D96" s="18">
        <v>45749</v>
      </c>
      <c r="E96" s="11" t="s">
        <v>397</v>
      </c>
      <c r="F96" s="11" t="s">
        <v>398</v>
      </c>
      <c r="G96" s="19">
        <v>725000</v>
      </c>
    </row>
    <row r="97" spans="1:7">
      <c r="A97" s="11" t="s">
        <v>72</v>
      </c>
      <c r="B97" s="11" t="s">
        <v>192</v>
      </c>
      <c r="C97" s="11" t="s">
        <v>25</v>
      </c>
      <c r="D97" s="18">
        <v>45749</v>
      </c>
      <c r="E97" s="11" t="s">
        <v>397</v>
      </c>
      <c r="F97" s="11" t="s">
        <v>399</v>
      </c>
      <c r="G97" s="19">
        <v>1600000</v>
      </c>
    </row>
    <row r="98" spans="1:7">
      <c r="A98" s="11" t="s">
        <v>22</v>
      </c>
      <c r="B98" s="11" t="s">
        <v>121</v>
      </c>
      <c r="C98" s="11" t="s">
        <v>122</v>
      </c>
      <c r="D98" s="18">
        <v>45749</v>
      </c>
      <c r="E98" s="11" t="s">
        <v>400</v>
      </c>
      <c r="F98" s="11" t="s">
        <v>401</v>
      </c>
      <c r="G98" s="19">
        <v>1100000</v>
      </c>
    </row>
    <row r="99" spans="1:7">
      <c r="A99" s="11" t="s">
        <v>70</v>
      </c>
      <c r="B99" s="11" t="s">
        <v>191</v>
      </c>
      <c r="C99" s="11" t="s">
        <v>25</v>
      </c>
      <c r="D99" s="18">
        <v>45749</v>
      </c>
      <c r="E99" s="11" t="s">
        <v>402</v>
      </c>
      <c r="F99" s="11" t="s">
        <v>403</v>
      </c>
      <c r="G99" s="19">
        <v>850000</v>
      </c>
    </row>
    <row r="100" spans="1:7">
      <c r="A100" s="11" t="s">
        <v>28</v>
      </c>
      <c r="B100" s="11" t="s">
        <v>29</v>
      </c>
      <c r="C100" s="11" t="s">
        <v>15</v>
      </c>
      <c r="D100" s="18">
        <v>45749</v>
      </c>
      <c r="E100" s="11" t="s">
        <v>404</v>
      </c>
      <c r="F100" s="11" t="s">
        <v>405</v>
      </c>
      <c r="G100" s="19">
        <v>599400</v>
      </c>
    </row>
    <row r="101" spans="1:7">
      <c r="A101" s="11" t="s">
        <v>28</v>
      </c>
      <c r="B101" s="11" t="s">
        <v>126</v>
      </c>
      <c r="C101" s="11" t="s">
        <v>32</v>
      </c>
      <c r="D101" s="18">
        <v>45749</v>
      </c>
      <c r="E101" s="11" t="s">
        <v>406</v>
      </c>
      <c r="F101" s="11" t="s">
        <v>407</v>
      </c>
      <c r="G101" s="19">
        <v>3534710</v>
      </c>
    </row>
    <row r="102" spans="1:7">
      <c r="A102" s="11" t="s">
        <v>104</v>
      </c>
      <c r="B102" s="11" t="s">
        <v>108</v>
      </c>
      <c r="C102" s="11" t="s">
        <v>15</v>
      </c>
      <c r="D102" s="18">
        <v>45749</v>
      </c>
      <c r="E102" s="11" t="s">
        <v>408</v>
      </c>
      <c r="F102" s="11" t="s">
        <v>409</v>
      </c>
      <c r="G102" s="19">
        <v>77000</v>
      </c>
    </row>
    <row r="103" spans="1:7">
      <c r="A103" s="11" t="s">
        <v>28</v>
      </c>
      <c r="B103" s="11" t="s">
        <v>126</v>
      </c>
      <c r="C103" s="11" t="s">
        <v>32</v>
      </c>
      <c r="D103" s="18">
        <v>45749</v>
      </c>
      <c r="E103" s="11" t="s">
        <v>410</v>
      </c>
      <c r="F103" s="11" t="s">
        <v>411</v>
      </c>
      <c r="G103" s="19">
        <v>22077640</v>
      </c>
    </row>
    <row r="104" spans="1:7">
      <c r="A104" s="11" t="s">
        <v>28</v>
      </c>
      <c r="B104" s="11" t="s">
        <v>127</v>
      </c>
      <c r="C104" s="11" t="s">
        <v>32</v>
      </c>
      <c r="D104" s="18">
        <v>45749</v>
      </c>
      <c r="E104" s="11" t="s">
        <v>412</v>
      </c>
      <c r="F104" s="11" t="s">
        <v>413</v>
      </c>
      <c r="G104" s="19">
        <v>13300250</v>
      </c>
    </row>
    <row r="105" spans="1:7">
      <c r="A105" s="11" t="s">
        <v>28</v>
      </c>
      <c r="B105" s="11" t="s">
        <v>126</v>
      </c>
      <c r="C105" s="11" t="s">
        <v>32</v>
      </c>
      <c r="D105" s="18">
        <v>45749</v>
      </c>
      <c r="E105" s="11" t="s">
        <v>414</v>
      </c>
      <c r="F105" s="11" t="s">
        <v>415</v>
      </c>
      <c r="G105" s="19">
        <v>4820700</v>
      </c>
    </row>
    <row r="106" spans="1:7">
      <c r="A106" s="11" t="s">
        <v>28</v>
      </c>
      <c r="B106" s="11" t="s">
        <v>127</v>
      </c>
      <c r="C106" s="11" t="s">
        <v>32</v>
      </c>
      <c r="D106" s="18">
        <v>45749</v>
      </c>
      <c r="E106" s="11" t="s">
        <v>416</v>
      </c>
      <c r="F106" s="11" t="s">
        <v>417</v>
      </c>
      <c r="G106" s="19">
        <v>4678500</v>
      </c>
    </row>
    <row r="107" spans="1:7">
      <c r="A107" s="11" t="s">
        <v>28</v>
      </c>
      <c r="B107" s="11" t="s">
        <v>127</v>
      </c>
      <c r="C107" s="11" t="s">
        <v>32</v>
      </c>
      <c r="D107" s="18">
        <v>45749</v>
      </c>
      <c r="E107" s="11" t="s">
        <v>418</v>
      </c>
      <c r="F107" s="11" t="s">
        <v>419</v>
      </c>
      <c r="G107" s="19">
        <v>3348800</v>
      </c>
    </row>
    <row r="108" spans="1:7">
      <c r="A108" s="11" t="s">
        <v>28</v>
      </c>
      <c r="B108" s="11" t="s">
        <v>126</v>
      </c>
      <c r="C108" s="11" t="s">
        <v>32</v>
      </c>
      <c r="D108" s="18">
        <v>45749</v>
      </c>
      <c r="E108" s="11" t="s">
        <v>420</v>
      </c>
      <c r="F108" s="11" t="s">
        <v>421</v>
      </c>
      <c r="G108" s="19">
        <v>21704550</v>
      </c>
    </row>
    <row r="109" spans="1:7">
      <c r="A109" s="11" t="s">
        <v>173</v>
      </c>
      <c r="B109" s="11" t="s">
        <v>180</v>
      </c>
      <c r="C109" s="11" t="s">
        <v>25</v>
      </c>
      <c r="D109" s="18">
        <v>45750</v>
      </c>
      <c r="E109" s="11" t="s">
        <v>422</v>
      </c>
      <c r="F109" s="11" t="s">
        <v>249</v>
      </c>
      <c r="G109" s="19">
        <v>640000</v>
      </c>
    </row>
    <row r="110" spans="1:7">
      <c r="A110" s="11" t="s">
        <v>173</v>
      </c>
      <c r="B110" s="11" t="s">
        <v>180</v>
      </c>
      <c r="C110" s="11" t="s">
        <v>25</v>
      </c>
      <c r="D110" s="18">
        <v>45750</v>
      </c>
      <c r="E110" s="11" t="s">
        <v>423</v>
      </c>
      <c r="F110" s="11" t="s">
        <v>424</v>
      </c>
      <c r="G110" s="19">
        <v>7360000</v>
      </c>
    </row>
    <row r="111" spans="1:7">
      <c r="A111" s="11" t="s">
        <v>45</v>
      </c>
      <c r="B111" s="11" t="s">
        <v>143</v>
      </c>
      <c r="C111" s="11" t="s">
        <v>15</v>
      </c>
      <c r="D111" s="18">
        <v>45750</v>
      </c>
      <c r="E111" s="11" t="s">
        <v>425</v>
      </c>
      <c r="F111" s="11" t="s">
        <v>426</v>
      </c>
      <c r="G111" s="19">
        <v>9115200</v>
      </c>
    </row>
    <row r="112" spans="1:7">
      <c r="A112" s="11" t="s">
        <v>28</v>
      </c>
      <c r="B112" s="11" t="s">
        <v>126</v>
      </c>
      <c r="C112" s="11" t="s">
        <v>15</v>
      </c>
      <c r="D112" s="18">
        <v>45750</v>
      </c>
      <c r="E112" s="11" t="s">
        <v>427</v>
      </c>
      <c r="F112" s="11" t="s">
        <v>428</v>
      </c>
      <c r="G112" s="19">
        <v>9954770</v>
      </c>
    </row>
    <row r="113" spans="1:7">
      <c r="A113" s="11" t="s">
        <v>28</v>
      </c>
      <c r="B113" s="11" t="s">
        <v>29</v>
      </c>
      <c r="C113" s="11" t="s">
        <v>15</v>
      </c>
      <c r="D113" s="18">
        <v>45751</v>
      </c>
      <c r="E113" s="11" t="s">
        <v>429</v>
      </c>
      <c r="F113" s="11" t="s">
        <v>430</v>
      </c>
      <c r="G113" s="19">
        <v>1943000</v>
      </c>
    </row>
    <row r="114" spans="1:7">
      <c r="A114" s="11" t="s">
        <v>87</v>
      </c>
      <c r="B114" s="11" t="s">
        <v>95</v>
      </c>
      <c r="C114" s="11" t="s">
        <v>15</v>
      </c>
      <c r="D114" s="18">
        <v>45751</v>
      </c>
      <c r="E114" s="11" t="s">
        <v>431</v>
      </c>
      <c r="F114" s="11" t="s">
        <v>360</v>
      </c>
      <c r="G114" s="19">
        <v>395000</v>
      </c>
    </row>
    <row r="115" spans="1:7">
      <c r="A115" s="11" t="s">
        <v>87</v>
      </c>
      <c r="B115" s="11" t="s">
        <v>95</v>
      </c>
      <c r="C115" s="11" t="s">
        <v>15</v>
      </c>
      <c r="D115" s="18">
        <v>45751</v>
      </c>
      <c r="E115" s="11" t="s">
        <v>432</v>
      </c>
      <c r="F115" s="11" t="s">
        <v>433</v>
      </c>
      <c r="G115" s="19">
        <v>191800</v>
      </c>
    </row>
    <row r="116" spans="1:7">
      <c r="A116" s="11" t="s">
        <v>43</v>
      </c>
      <c r="B116" s="11" t="s">
        <v>139</v>
      </c>
      <c r="C116" s="11" t="s">
        <v>44</v>
      </c>
      <c r="D116" s="18">
        <v>45751</v>
      </c>
      <c r="E116" s="11" t="s">
        <v>434</v>
      </c>
      <c r="F116" s="11" t="s">
        <v>435</v>
      </c>
      <c r="G116" s="19">
        <v>50000</v>
      </c>
    </row>
    <row r="117" spans="1:7">
      <c r="A117" s="11" t="s">
        <v>104</v>
      </c>
      <c r="B117" s="11" t="s">
        <v>108</v>
      </c>
      <c r="C117" s="11" t="s">
        <v>44</v>
      </c>
      <c r="D117" s="18">
        <v>45751</v>
      </c>
      <c r="E117" s="11" t="s">
        <v>434</v>
      </c>
      <c r="F117" s="11" t="s">
        <v>436</v>
      </c>
      <c r="G117" s="19">
        <v>160000</v>
      </c>
    </row>
    <row r="118" spans="1:7">
      <c r="A118" s="11" t="s">
        <v>104</v>
      </c>
      <c r="B118" s="11" t="s">
        <v>108</v>
      </c>
      <c r="C118" s="11" t="s">
        <v>44</v>
      </c>
      <c r="D118" s="18">
        <v>45751</v>
      </c>
      <c r="E118" s="11" t="s">
        <v>437</v>
      </c>
      <c r="F118" s="11" t="s">
        <v>438</v>
      </c>
      <c r="G118" s="19">
        <v>257920</v>
      </c>
    </row>
    <row r="119" spans="1:7">
      <c r="A119" s="11" t="s">
        <v>104</v>
      </c>
      <c r="B119" s="11" t="s">
        <v>108</v>
      </c>
      <c r="C119" s="11" t="s">
        <v>15</v>
      </c>
      <c r="D119" s="18">
        <v>45751</v>
      </c>
      <c r="E119" s="11" t="s">
        <v>439</v>
      </c>
      <c r="F119" s="11" t="s">
        <v>255</v>
      </c>
      <c r="G119" s="19">
        <v>38520</v>
      </c>
    </row>
    <row r="120" spans="1:7">
      <c r="A120" s="11" t="s">
        <v>200</v>
      </c>
      <c r="B120" s="11" t="s">
        <v>202</v>
      </c>
      <c r="C120" s="11" t="s">
        <v>25</v>
      </c>
      <c r="D120" s="18">
        <v>45751</v>
      </c>
      <c r="E120" s="11" t="s">
        <v>440</v>
      </c>
      <c r="F120" s="11" t="s">
        <v>441</v>
      </c>
      <c r="G120" s="19">
        <v>480000</v>
      </c>
    </row>
    <row r="121" spans="1:7">
      <c r="A121" s="11" t="s">
        <v>160</v>
      </c>
      <c r="B121" s="11" t="s">
        <v>161</v>
      </c>
      <c r="C121" s="11" t="s">
        <v>25</v>
      </c>
      <c r="D121" s="18">
        <v>45751</v>
      </c>
      <c r="E121" s="11" t="s">
        <v>442</v>
      </c>
      <c r="F121" s="11" t="s">
        <v>443</v>
      </c>
      <c r="G121" s="19">
        <v>105000</v>
      </c>
    </row>
    <row r="122" spans="1:7">
      <c r="A122" s="11" t="s">
        <v>144</v>
      </c>
      <c r="B122" s="11" t="s">
        <v>147</v>
      </c>
      <c r="C122" s="11" t="s">
        <v>25</v>
      </c>
      <c r="D122" s="18">
        <v>45755</v>
      </c>
      <c r="E122" s="11" t="s">
        <v>444</v>
      </c>
      <c r="F122" s="11" t="s">
        <v>445</v>
      </c>
      <c r="G122" s="19">
        <v>525000</v>
      </c>
    </row>
    <row r="123" spans="1:7">
      <c r="A123" s="11" t="s">
        <v>72</v>
      </c>
      <c r="B123" s="11" t="s">
        <v>192</v>
      </c>
      <c r="C123" s="11" t="s">
        <v>120</v>
      </c>
      <c r="D123" s="18">
        <v>45755</v>
      </c>
      <c r="E123" s="11" t="s">
        <v>444</v>
      </c>
      <c r="F123" s="11" t="s">
        <v>446</v>
      </c>
      <c r="G123" s="19">
        <v>350000</v>
      </c>
    </row>
    <row r="124" spans="1:7">
      <c r="A124" s="11" t="s">
        <v>160</v>
      </c>
      <c r="B124" s="11" t="s">
        <v>161</v>
      </c>
      <c r="C124" s="11" t="s">
        <v>25</v>
      </c>
      <c r="D124" s="18">
        <v>45755</v>
      </c>
      <c r="E124" s="11" t="s">
        <v>447</v>
      </c>
      <c r="F124" s="11" t="s">
        <v>448</v>
      </c>
      <c r="G124" s="19">
        <v>490000</v>
      </c>
    </row>
    <row r="125" spans="1:7">
      <c r="A125" s="11" t="s">
        <v>70</v>
      </c>
      <c r="B125" s="11" t="s">
        <v>191</v>
      </c>
      <c r="C125" s="11" t="s">
        <v>25</v>
      </c>
      <c r="D125" s="18">
        <v>45755</v>
      </c>
      <c r="E125" s="11" t="s">
        <v>449</v>
      </c>
      <c r="F125" s="11" t="s">
        <v>403</v>
      </c>
      <c r="G125" s="19">
        <v>-850000</v>
      </c>
    </row>
    <row r="126" spans="1:7">
      <c r="A126" s="11" t="s">
        <v>83</v>
      </c>
      <c r="B126" s="11" t="s">
        <v>206</v>
      </c>
      <c r="C126" s="11" t="s">
        <v>25</v>
      </c>
      <c r="D126" s="18">
        <v>45755</v>
      </c>
      <c r="E126" s="11" t="s">
        <v>449</v>
      </c>
      <c r="F126" s="11" t="s">
        <v>403</v>
      </c>
      <c r="G126" s="19">
        <v>850000</v>
      </c>
    </row>
    <row r="127" spans="1:7">
      <c r="A127" s="11" t="s">
        <v>43</v>
      </c>
      <c r="B127" s="11" t="s">
        <v>139</v>
      </c>
      <c r="C127" s="11" t="s">
        <v>14</v>
      </c>
      <c r="D127" s="18">
        <v>45756</v>
      </c>
      <c r="E127" s="11" t="s">
        <v>450</v>
      </c>
      <c r="F127" s="11" t="s">
        <v>451</v>
      </c>
      <c r="G127" s="19">
        <v>38000</v>
      </c>
    </row>
    <row r="128" spans="1:7">
      <c r="A128" s="11" t="s">
        <v>144</v>
      </c>
      <c r="B128" s="11" t="s">
        <v>49</v>
      </c>
      <c r="C128" s="11" t="s">
        <v>50</v>
      </c>
      <c r="D128" s="18">
        <v>45756</v>
      </c>
      <c r="E128" s="11" t="s">
        <v>452</v>
      </c>
      <c r="F128" s="11" t="s">
        <v>453</v>
      </c>
      <c r="G128" s="19">
        <v>855840</v>
      </c>
    </row>
    <row r="129" spans="1:7">
      <c r="A129" s="11" t="s">
        <v>144</v>
      </c>
      <c r="B129" s="11" t="s">
        <v>49</v>
      </c>
      <c r="C129" s="11" t="s">
        <v>50</v>
      </c>
      <c r="D129" s="18">
        <v>45756</v>
      </c>
      <c r="E129" s="11" t="s">
        <v>454</v>
      </c>
      <c r="F129" s="11" t="s">
        <v>267</v>
      </c>
      <c r="G129" s="19">
        <v>33000</v>
      </c>
    </row>
    <row r="130" spans="1:7">
      <c r="A130" s="11" t="s">
        <v>144</v>
      </c>
      <c r="B130" s="11" t="s">
        <v>49</v>
      </c>
      <c r="C130" s="11" t="s">
        <v>50</v>
      </c>
      <c r="D130" s="18">
        <v>45756</v>
      </c>
      <c r="E130" s="11" t="s">
        <v>455</v>
      </c>
      <c r="F130" s="11" t="s">
        <v>267</v>
      </c>
      <c r="G130" s="19">
        <v>106800</v>
      </c>
    </row>
    <row r="131" spans="1:7">
      <c r="A131" s="11" t="s">
        <v>144</v>
      </c>
      <c r="B131" s="11" t="s">
        <v>49</v>
      </c>
      <c r="C131" s="11" t="s">
        <v>50</v>
      </c>
      <c r="D131" s="18">
        <v>45756</v>
      </c>
      <c r="E131" s="11" t="s">
        <v>456</v>
      </c>
      <c r="F131" s="11" t="s">
        <v>267</v>
      </c>
      <c r="G131" s="19">
        <v>1014000</v>
      </c>
    </row>
    <row r="132" spans="1:7">
      <c r="A132" s="11" t="s">
        <v>144</v>
      </c>
      <c r="B132" s="11" t="s">
        <v>49</v>
      </c>
      <c r="C132" s="11" t="s">
        <v>50</v>
      </c>
      <c r="D132" s="18">
        <v>45756</v>
      </c>
      <c r="E132" s="11" t="s">
        <v>457</v>
      </c>
      <c r="F132" s="11" t="s">
        <v>267</v>
      </c>
      <c r="G132" s="19">
        <v>684000</v>
      </c>
    </row>
    <row r="133" spans="1:7">
      <c r="A133" s="11" t="s">
        <v>104</v>
      </c>
      <c r="B133" s="11" t="s">
        <v>214</v>
      </c>
      <c r="C133" s="11" t="s">
        <v>12</v>
      </c>
      <c r="D133" s="18">
        <v>45756</v>
      </c>
      <c r="E133" s="11" t="s">
        <v>458</v>
      </c>
      <c r="F133" s="11" t="s">
        <v>263</v>
      </c>
      <c r="G133" s="19">
        <v>27000</v>
      </c>
    </row>
    <row r="134" spans="1:7">
      <c r="A134" s="11" t="s">
        <v>104</v>
      </c>
      <c r="B134" s="11" t="s">
        <v>214</v>
      </c>
      <c r="C134" s="11" t="s">
        <v>12</v>
      </c>
      <c r="D134" s="18">
        <v>45756</v>
      </c>
      <c r="E134" s="11" t="s">
        <v>459</v>
      </c>
      <c r="F134" s="11" t="s">
        <v>460</v>
      </c>
      <c r="G134" s="19">
        <v>9000</v>
      </c>
    </row>
    <row r="135" spans="1:7">
      <c r="A135" s="11" t="s">
        <v>104</v>
      </c>
      <c r="B135" s="11" t="s">
        <v>108</v>
      </c>
      <c r="C135" s="11" t="s">
        <v>12</v>
      </c>
      <c r="D135" s="18">
        <v>45756</v>
      </c>
      <c r="E135" s="11" t="s">
        <v>461</v>
      </c>
      <c r="F135" s="11" t="s">
        <v>285</v>
      </c>
      <c r="G135" s="19">
        <v>9000</v>
      </c>
    </row>
    <row r="136" spans="1:7">
      <c r="A136" s="11" t="s">
        <v>70</v>
      </c>
      <c r="B136" s="11" t="s">
        <v>188</v>
      </c>
      <c r="C136" s="11" t="s">
        <v>13</v>
      </c>
      <c r="D136" s="18">
        <v>45756</v>
      </c>
      <c r="E136" s="11" t="s">
        <v>462</v>
      </c>
      <c r="F136" s="11" t="s">
        <v>463</v>
      </c>
      <c r="G136" s="19">
        <v>43100</v>
      </c>
    </row>
    <row r="137" spans="1:7">
      <c r="A137" s="11" t="s">
        <v>87</v>
      </c>
      <c r="B137" s="11" t="s">
        <v>95</v>
      </c>
      <c r="C137" s="11" t="s">
        <v>15</v>
      </c>
      <c r="D137" s="18">
        <v>45756</v>
      </c>
      <c r="E137" s="11" t="s">
        <v>464</v>
      </c>
      <c r="F137" s="11" t="s">
        <v>265</v>
      </c>
      <c r="G137" s="19">
        <v>41700</v>
      </c>
    </row>
    <row r="138" spans="1:7">
      <c r="A138" s="11" t="s">
        <v>104</v>
      </c>
      <c r="B138" s="11" t="s">
        <v>108</v>
      </c>
      <c r="C138" s="11" t="s">
        <v>12</v>
      </c>
      <c r="D138" s="18">
        <v>45756</v>
      </c>
      <c r="E138" s="11" t="s">
        <v>465</v>
      </c>
      <c r="F138" s="11" t="s">
        <v>291</v>
      </c>
      <c r="G138" s="19">
        <v>9000</v>
      </c>
    </row>
    <row r="139" spans="1:7">
      <c r="A139" s="11" t="s">
        <v>144</v>
      </c>
      <c r="B139" s="11" t="s">
        <v>49</v>
      </c>
      <c r="C139" s="11" t="s">
        <v>50</v>
      </c>
      <c r="D139" s="18">
        <v>45756</v>
      </c>
      <c r="E139" s="11" t="s">
        <v>466</v>
      </c>
      <c r="F139" s="11" t="s">
        <v>267</v>
      </c>
      <c r="G139" s="19">
        <v>939850</v>
      </c>
    </row>
    <row r="140" spans="1:7">
      <c r="A140" s="11" t="s">
        <v>87</v>
      </c>
      <c r="B140" s="11" t="s">
        <v>95</v>
      </c>
      <c r="C140" s="11" t="s">
        <v>15</v>
      </c>
      <c r="D140" s="18">
        <v>45756</v>
      </c>
      <c r="E140" s="11" t="s">
        <v>467</v>
      </c>
      <c r="F140" s="11" t="s">
        <v>468</v>
      </c>
      <c r="G140" s="19">
        <v>15000</v>
      </c>
    </row>
    <row r="141" spans="1:7">
      <c r="A141" s="11" t="s">
        <v>104</v>
      </c>
      <c r="B141" s="11" t="s">
        <v>108</v>
      </c>
      <c r="C141" s="11" t="s">
        <v>12</v>
      </c>
      <c r="D141" s="18">
        <v>45756</v>
      </c>
      <c r="E141" s="11" t="s">
        <v>469</v>
      </c>
      <c r="F141" s="11" t="s">
        <v>285</v>
      </c>
      <c r="G141" s="19">
        <v>9000</v>
      </c>
    </row>
    <row r="142" spans="1:7">
      <c r="A142" s="11" t="s">
        <v>104</v>
      </c>
      <c r="B142" s="11" t="s">
        <v>214</v>
      </c>
      <c r="C142" s="11" t="s">
        <v>12</v>
      </c>
      <c r="D142" s="18">
        <v>45756</v>
      </c>
      <c r="E142" s="11" t="s">
        <v>470</v>
      </c>
      <c r="F142" s="11" t="s">
        <v>261</v>
      </c>
      <c r="G142" s="19">
        <v>27000</v>
      </c>
    </row>
    <row r="143" spans="1:7">
      <c r="A143" s="11" t="s">
        <v>87</v>
      </c>
      <c r="B143" s="11" t="s">
        <v>95</v>
      </c>
      <c r="C143" s="11" t="s">
        <v>15</v>
      </c>
      <c r="D143" s="18">
        <v>45756</v>
      </c>
      <c r="E143" s="11" t="s">
        <v>471</v>
      </c>
      <c r="F143" s="11" t="s">
        <v>265</v>
      </c>
      <c r="G143" s="19">
        <v>74500</v>
      </c>
    </row>
    <row r="144" spans="1:7">
      <c r="A144" s="11" t="s">
        <v>52</v>
      </c>
      <c r="B144" s="11" t="s">
        <v>53</v>
      </c>
      <c r="C144" s="11" t="s">
        <v>13</v>
      </c>
      <c r="D144" s="18">
        <v>45756</v>
      </c>
      <c r="E144" s="11" t="s">
        <v>472</v>
      </c>
      <c r="F144" s="11" t="s">
        <v>272</v>
      </c>
      <c r="G144" s="19">
        <v>459200</v>
      </c>
    </row>
    <row r="145" spans="1:7">
      <c r="A145" s="11" t="s">
        <v>87</v>
      </c>
      <c r="B145" s="11" t="s">
        <v>96</v>
      </c>
      <c r="C145" s="11" t="s">
        <v>15</v>
      </c>
      <c r="D145" s="18">
        <v>45756</v>
      </c>
      <c r="E145" s="11" t="s">
        <v>473</v>
      </c>
      <c r="F145" s="11" t="s">
        <v>270</v>
      </c>
      <c r="G145" s="19">
        <v>312170</v>
      </c>
    </row>
    <row r="146" spans="1:7">
      <c r="A146" s="11" t="s">
        <v>43</v>
      </c>
      <c r="B146" s="11" t="s">
        <v>139</v>
      </c>
      <c r="C146" s="11" t="s">
        <v>15</v>
      </c>
      <c r="D146" s="18">
        <v>45756</v>
      </c>
      <c r="E146" s="11" t="s">
        <v>474</v>
      </c>
      <c r="F146" s="11" t="s">
        <v>270</v>
      </c>
      <c r="G146" s="19">
        <v>29740</v>
      </c>
    </row>
    <row r="147" spans="1:7">
      <c r="A147" s="11" t="s">
        <v>144</v>
      </c>
      <c r="B147" s="11" t="s">
        <v>49</v>
      </c>
      <c r="C147" s="11" t="s">
        <v>50</v>
      </c>
      <c r="D147" s="18">
        <v>45756</v>
      </c>
      <c r="E147" s="11" t="s">
        <v>475</v>
      </c>
      <c r="F147" s="11" t="s">
        <v>453</v>
      </c>
      <c r="G147" s="19">
        <v>2329300</v>
      </c>
    </row>
    <row r="148" spans="1:7">
      <c r="A148" s="11" t="s">
        <v>144</v>
      </c>
      <c r="B148" s="11" t="s">
        <v>49</v>
      </c>
      <c r="C148" s="11" t="s">
        <v>50</v>
      </c>
      <c r="D148" s="18">
        <v>45756</v>
      </c>
      <c r="E148" s="11" t="s">
        <v>476</v>
      </c>
      <c r="F148" s="11" t="s">
        <v>265</v>
      </c>
      <c r="G148" s="19">
        <v>200260</v>
      </c>
    </row>
    <row r="149" spans="1:7">
      <c r="A149" s="11" t="s">
        <v>52</v>
      </c>
      <c r="B149" s="11" t="s">
        <v>53</v>
      </c>
      <c r="C149" s="11" t="s">
        <v>13</v>
      </c>
      <c r="D149" s="18">
        <v>45756</v>
      </c>
      <c r="E149" s="11" t="s">
        <v>477</v>
      </c>
      <c r="F149" s="11" t="s">
        <v>272</v>
      </c>
      <c r="G149" s="19">
        <v>295900</v>
      </c>
    </row>
    <row r="150" spans="1:7">
      <c r="A150" s="11" t="s">
        <v>104</v>
      </c>
      <c r="B150" s="11" t="s">
        <v>108</v>
      </c>
      <c r="C150" s="11" t="s">
        <v>12</v>
      </c>
      <c r="D150" s="18">
        <v>45756</v>
      </c>
      <c r="E150" s="11" t="s">
        <v>478</v>
      </c>
      <c r="F150" s="11" t="s">
        <v>285</v>
      </c>
      <c r="G150" s="19">
        <v>9000</v>
      </c>
    </row>
    <row r="151" spans="1:7">
      <c r="A151" s="11" t="s">
        <v>70</v>
      </c>
      <c r="B151" s="11" t="s">
        <v>190</v>
      </c>
      <c r="C151" s="11" t="s">
        <v>14</v>
      </c>
      <c r="D151" s="18">
        <v>45756</v>
      </c>
      <c r="E151" s="11" t="s">
        <v>479</v>
      </c>
      <c r="F151" s="11" t="s">
        <v>480</v>
      </c>
      <c r="G151" s="19">
        <v>390000</v>
      </c>
    </row>
    <row r="152" spans="1:7">
      <c r="A152" s="11" t="s">
        <v>104</v>
      </c>
      <c r="B152" s="11" t="s">
        <v>214</v>
      </c>
      <c r="C152" s="11" t="s">
        <v>12</v>
      </c>
      <c r="D152" s="18">
        <v>45756</v>
      </c>
      <c r="E152" s="11" t="s">
        <v>481</v>
      </c>
      <c r="F152" s="11" t="s">
        <v>285</v>
      </c>
      <c r="G152" s="19">
        <v>8400</v>
      </c>
    </row>
    <row r="153" spans="1:7">
      <c r="A153" s="11" t="s">
        <v>144</v>
      </c>
      <c r="B153" s="11" t="s">
        <v>49</v>
      </c>
      <c r="C153" s="11" t="s">
        <v>50</v>
      </c>
      <c r="D153" s="18">
        <v>45756</v>
      </c>
      <c r="E153" s="11" t="s">
        <v>482</v>
      </c>
      <c r="F153" s="11" t="s">
        <v>295</v>
      </c>
      <c r="G153" s="19">
        <v>101480</v>
      </c>
    </row>
    <row r="154" spans="1:7">
      <c r="A154" s="11" t="s">
        <v>65</v>
      </c>
      <c r="B154" s="11" t="s">
        <v>186</v>
      </c>
      <c r="C154" s="11" t="s">
        <v>66</v>
      </c>
      <c r="D154" s="18">
        <v>45756</v>
      </c>
      <c r="E154" s="11" t="s">
        <v>483</v>
      </c>
      <c r="F154" s="11" t="s">
        <v>484</v>
      </c>
      <c r="G154" s="19">
        <v>1033650</v>
      </c>
    </row>
    <row r="155" spans="1:7">
      <c r="A155" s="11" t="s">
        <v>104</v>
      </c>
      <c r="B155" s="11" t="s">
        <v>105</v>
      </c>
      <c r="C155" s="11" t="s">
        <v>14</v>
      </c>
      <c r="D155" s="18">
        <v>45756</v>
      </c>
      <c r="E155" s="11" t="s">
        <v>485</v>
      </c>
      <c r="F155" s="11" t="s">
        <v>486</v>
      </c>
      <c r="G155" s="19">
        <v>25000</v>
      </c>
    </row>
    <row r="156" spans="1:7">
      <c r="A156" s="11" t="s">
        <v>87</v>
      </c>
      <c r="B156" s="11" t="s">
        <v>95</v>
      </c>
      <c r="C156" s="11" t="s">
        <v>15</v>
      </c>
      <c r="D156" s="18">
        <v>45756</v>
      </c>
      <c r="E156" s="11" t="s">
        <v>487</v>
      </c>
      <c r="F156" s="11" t="s">
        <v>265</v>
      </c>
      <c r="G156" s="19">
        <v>158000</v>
      </c>
    </row>
    <row r="157" spans="1:7">
      <c r="A157" s="11" t="s">
        <v>52</v>
      </c>
      <c r="B157" s="11" t="s">
        <v>53</v>
      </c>
      <c r="C157" s="11" t="s">
        <v>13</v>
      </c>
      <c r="D157" s="18">
        <v>45756</v>
      </c>
      <c r="E157" s="11" t="s">
        <v>488</v>
      </c>
      <c r="F157" s="11" t="s">
        <v>272</v>
      </c>
      <c r="G157" s="19">
        <v>505900</v>
      </c>
    </row>
    <row r="158" spans="1:7">
      <c r="A158" s="11" t="s">
        <v>144</v>
      </c>
      <c r="B158" s="11" t="s">
        <v>49</v>
      </c>
      <c r="C158" s="11" t="s">
        <v>50</v>
      </c>
      <c r="D158" s="18">
        <v>45756</v>
      </c>
      <c r="E158" s="11" t="s">
        <v>489</v>
      </c>
      <c r="F158" s="11" t="s">
        <v>490</v>
      </c>
      <c r="G158" s="19">
        <v>393440</v>
      </c>
    </row>
    <row r="159" spans="1:7">
      <c r="A159" s="11" t="s">
        <v>52</v>
      </c>
      <c r="B159" s="11" t="s">
        <v>53</v>
      </c>
      <c r="C159" s="11" t="s">
        <v>13</v>
      </c>
      <c r="D159" s="18">
        <v>45756</v>
      </c>
      <c r="E159" s="11" t="s">
        <v>491</v>
      </c>
      <c r="F159" s="11" t="s">
        <v>272</v>
      </c>
      <c r="G159" s="19">
        <v>202000</v>
      </c>
    </row>
    <row r="160" spans="1:7">
      <c r="A160" s="11" t="s">
        <v>43</v>
      </c>
      <c r="B160" s="11" t="s">
        <v>139</v>
      </c>
      <c r="C160" s="11" t="s">
        <v>15</v>
      </c>
      <c r="D160" s="18">
        <v>45756</v>
      </c>
      <c r="E160" s="11" t="s">
        <v>492</v>
      </c>
      <c r="F160" s="11" t="s">
        <v>493</v>
      </c>
      <c r="G160" s="19">
        <v>30000</v>
      </c>
    </row>
    <row r="161" spans="1:7">
      <c r="A161" s="11" t="s">
        <v>144</v>
      </c>
      <c r="B161" s="11" t="s">
        <v>49</v>
      </c>
      <c r="C161" s="11" t="s">
        <v>50</v>
      </c>
      <c r="D161" s="18">
        <v>45756</v>
      </c>
      <c r="E161" s="11" t="s">
        <v>494</v>
      </c>
      <c r="F161" s="11" t="s">
        <v>495</v>
      </c>
      <c r="G161" s="19">
        <v>942460</v>
      </c>
    </row>
    <row r="162" spans="1:7">
      <c r="A162" s="11" t="s">
        <v>144</v>
      </c>
      <c r="B162" s="11" t="s">
        <v>146</v>
      </c>
      <c r="C162" s="11" t="s">
        <v>13</v>
      </c>
      <c r="D162" s="18">
        <v>45756</v>
      </c>
      <c r="E162" s="11" t="s">
        <v>494</v>
      </c>
      <c r="F162" s="11" t="s">
        <v>270</v>
      </c>
      <c r="G162" s="19">
        <v>339600</v>
      </c>
    </row>
    <row r="163" spans="1:7">
      <c r="A163" s="11" t="s">
        <v>104</v>
      </c>
      <c r="B163" s="11" t="s">
        <v>214</v>
      </c>
      <c r="C163" s="11" t="s">
        <v>12</v>
      </c>
      <c r="D163" s="18">
        <v>45756</v>
      </c>
      <c r="E163" s="11" t="s">
        <v>496</v>
      </c>
      <c r="F163" s="11" t="s">
        <v>497</v>
      </c>
      <c r="G163" s="19">
        <v>8000</v>
      </c>
    </row>
    <row r="164" spans="1:7">
      <c r="A164" s="11" t="s">
        <v>87</v>
      </c>
      <c r="B164" s="11" t="s">
        <v>95</v>
      </c>
      <c r="C164" s="11" t="s">
        <v>15</v>
      </c>
      <c r="D164" s="18">
        <v>45756</v>
      </c>
      <c r="E164" s="11" t="s">
        <v>498</v>
      </c>
      <c r="F164" s="11" t="s">
        <v>265</v>
      </c>
      <c r="G164" s="19">
        <v>34800</v>
      </c>
    </row>
    <row r="165" spans="1:7">
      <c r="A165" s="11" t="s">
        <v>144</v>
      </c>
      <c r="B165" s="11" t="s">
        <v>49</v>
      </c>
      <c r="C165" s="11" t="s">
        <v>50</v>
      </c>
      <c r="D165" s="18">
        <v>45756</v>
      </c>
      <c r="E165" s="11" t="s">
        <v>499</v>
      </c>
      <c r="F165" s="11" t="s">
        <v>295</v>
      </c>
      <c r="G165" s="19">
        <v>250400</v>
      </c>
    </row>
    <row r="166" spans="1:7">
      <c r="A166" s="11" t="s">
        <v>52</v>
      </c>
      <c r="B166" s="11" t="s">
        <v>155</v>
      </c>
      <c r="C166" s="11" t="s">
        <v>13</v>
      </c>
      <c r="D166" s="18">
        <v>45756</v>
      </c>
      <c r="E166" s="11" t="s">
        <v>500</v>
      </c>
      <c r="F166" s="11" t="s">
        <v>495</v>
      </c>
      <c r="G166" s="19">
        <v>222040</v>
      </c>
    </row>
    <row r="167" spans="1:7">
      <c r="A167" s="11" t="s">
        <v>22</v>
      </c>
      <c r="B167" s="11" t="s">
        <v>23</v>
      </c>
      <c r="C167" s="11" t="s">
        <v>24</v>
      </c>
      <c r="D167" s="18">
        <v>45756</v>
      </c>
      <c r="E167" s="11" t="s">
        <v>501</v>
      </c>
      <c r="F167" s="11" t="s">
        <v>502</v>
      </c>
      <c r="G167" s="19">
        <v>1500000</v>
      </c>
    </row>
    <row r="168" spans="1:7">
      <c r="A168" s="11" t="s">
        <v>22</v>
      </c>
      <c r="B168" s="11" t="s">
        <v>119</v>
      </c>
      <c r="C168" s="11" t="s">
        <v>120</v>
      </c>
      <c r="D168" s="18">
        <v>45756</v>
      </c>
      <c r="E168" s="11" t="s">
        <v>501</v>
      </c>
      <c r="F168" s="11" t="s">
        <v>502</v>
      </c>
      <c r="G168" s="19">
        <v>1223470</v>
      </c>
    </row>
    <row r="169" spans="1:7">
      <c r="A169" s="11" t="s">
        <v>54</v>
      </c>
      <c r="B169" s="11" t="s">
        <v>158</v>
      </c>
      <c r="C169" s="11" t="s">
        <v>151</v>
      </c>
      <c r="D169" s="18">
        <v>45756</v>
      </c>
      <c r="E169" s="11" t="s">
        <v>501</v>
      </c>
      <c r="F169" s="11" t="s">
        <v>502</v>
      </c>
      <c r="G169" s="19">
        <v>331200</v>
      </c>
    </row>
    <row r="170" spans="1:7">
      <c r="A170" s="11" t="s">
        <v>200</v>
      </c>
      <c r="B170" s="11" t="s">
        <v>201</v>
      </c>
      <c r="C170" s="11" t="s">
        <v>151</v>
      </c>
      <c r="D170" s="18">
        <v>45756</v>
      </c>
      <c r="E170" s="11" t="s">
        <v>501</v>
      </c>
      <c r="F170" s="11" t="s">
        <v>502</v>
      </c>
      <c r="G170" s="19">
        <v>246980</v>
      </c>
    </row>
    <row r="171" spans="1:7">
      <c r="A171" s="11" t="s">
        <v>144</v>
      </c>
      <c r="B171" s="11" t="s">
        <v>51</v>
      </c>
      <c r="C171" s="11" t="s">
        <v>25</v>
      </c>
      <c r="D171" s="18">
        <v>45756</v>
      </c>
      <c r="E171" s="11" t="s">
        <v>503</v>
      </c>
      <c r="F171" s="11" t="s">
        <v>504</v>
      </c>
      <c r="G171" s="19">
        <v>232500</v>
      </c>
    </row>
    <row r="172" spans="1:7">
      <c r="A172" s="11" t="s">
        <v>52</v>
      </c>
      <c r="B172" s="11" t="s">
        <v>156</v>
      </c>
      <c r="C172" s="11" t="s">
        <v>13</v>
      </c>
      <c r="D172" s="18">
        <v>45756</v>
      </c>
      <c r="E172" s="11" t="s">
        <v>505</v>
      </c>
      <c r="F172" s="11" t="s">
        <v>506</v>
      </c>
      <c r="G172" s="19">
        <v>264000</v>
      </c>
    </row>
    <row r="173" spans="1:7">
      <c r="A173" s="11" t="s">
        <v>104</v>
      </c>
      <c r="B173" s="11" t="s">
        <v>214</v>
      </c>
      <c r="C173" s="11" t="s">
        <v>12</v>
      </c>
      <c r="D173" s="18">
        <v>45756</v>
      </c>
      <c r="E173" s="11" t="s">
        <v>507</v>
      </c>
      <c r="F173" s="11" t="s">
        <v>508</v>
      </c>
      <c r="G173" s="19">
        <v>8500</v>
      </c>
    </row>
    <row r="174" spans="1:7">
      <c r="A174" s="11" t="s">
        <v>38</v>
      </c>
      <c r="B174" s="11" t="s">
        <v>40</v>
      </c>
      <c r="C174" s="11" t="s">
        <v>15</v>
      </c>
      <c r="D174" s="18">
        <v>45756</v>
      </c>
      <c r="E174" s="11" t="s">
        <v>509</v>
      </c>
      <c r="F174" s="11" t="s">
        <v>510</v>
      </c>
      <c r="G174" s="19">
        <v>250000</v>
      </c>
    </row>
    <row r="175" spans="1:7">
      <c r="A175" s="11" t="s">
        <v>104</v>
      </c>
      <c r="B175" s="11" t="s">
        <v>108</v>
      </c>
      <c r="C175" s="11" t="s">
        <v>15</v>
      </c>
      <c r="D175" s="18">
        <v>45756</v>
      </c>
      <c r="E175" s="11" t="s">
        <v>511</v>
      </c>
      <c r="F175" s="11" t="s">
        <v>255</v>
      </c>
      <c r="G175" s="19">
        <v>2040</v>
      </c>
    </row>
    <row r="176" spans="1:7">
      <c r="A176" s="11" t="s">
        <v>173</v>
      </c>
      <c r="B176" s="11" t="s">
        <v>180</v>
      </c>
      <c r="C176" s="11" t="s">
        <v>25</v>
      </c>
      <c r="D176" s="18">
        <v>45757</v>
      </c>
      <c r="E176" s="11" t="s">
        <v>512</v>
      </c>
      <c r="F176" s="11" t="s">
        <v>513</v>
      </c>
      <c r="G176" s="19">
        <v>320000</v>
      </c>
    </row>
    <row r="177" spans="1:7">
      <c r="A177" s="11" t="s">
        <v>173</v>
      </c>
      <c r="B177" s="11" t="s">
        <v>180</v>
      </c>
      <c r="C177" s="11" t="s">
        <v>151</v>
      </c>
      <c r="D177" s="18">
        <v>45757</v>
      </c>
      <c r="E177" s="11" t="s">
        <v>514</v>
      </c>
      <c r="F177" s="11" t="s">
        <v>502</v>
      </c>
      <c r="G177" s="19">
        <v>45460</v>
      </c>
    </row>
    <row r="178" spans="1:7">
      <c r="A178" s="11" t="s">
        <v>130</v>
      </c>
      <c r="B178" s="11" t="s">
        <v>133</v>
      </c>
      <c r="C178" s="11" t="s">
        <v>12</v>
      </c>
      <c r="D178" s="18">
        <v>45757</v>
      </c>
      <c r="E178" s="11" t="s">
        <v>515</v>
      </c>
      <c r="F178" s="11" t="s">
        <v>516</v>
      </c>
      <c r="G178" s="19">
        <v>50000</v>
      </c>
    </row>
    <row r="179" spans="1:7">
      <c r="A179" s="11" t="s">
        <v>104</v>
      </c>
      <c r="B179" s="11" t="s">
        <v>105</v>
      </c>
      <c r="C179" s="11" t="s">
        <v>14</v>
      </c>
      <c r="D179" s="18">
        <v>45757</v>
      </c>
      <c r="E179" s="11" t="s">
        <v>517</v>
      </c>
      <c r="F179" s="11" t="s">
        <v>518</v>
      </c>
      <c r="G179" s="19">
        <v>50000</v>
      </c>
    </row>
    <row r="180" spans="1:7">
      <c r="A180" s="11" t="s">
        <v>144</v>
      </c>
      <c r="B180" s="11" t="s">
        <v>49</v>
      </c>
      <c r="C180" s="11" t="s">
        <v>50</v>
      </c>
      <c r="D180" s="18">
        <v>45757</v>
      </c>
      <c r="E180" s="11" t="s">
        <v>519</v>
      </c>
      <c r="F180" s="11" t="s">
        <v>502</v>
      </c>
      <c r="G180" s="19">
        <v>30000</v>
      </c>
    </row>
    <row r="181" spans="1:7">
      <c r="A181" s="11" t="s">
        <v>87</v>
      </c>
      <c r="B181" s="11" t="s">
        <v>95</v>
      </c>
      <c r="C181" s="11" t="s">
        <v>15</v>
      </c>
      <c r="D181" s="18">
        <v>45757</v>
      </c>
      <c r="E181" s="11" t="s">
        <v>520</v>
      </c>
      <c r="F181" s="11" t="s">
        <v>521</v>
      </c>
      <c r="G181" s="19">
        <v>160000</v>
      </c>
    </row>
    <row r="182" spans="1:7">
      <c r="A182" s="11" t="s">
        <v>104</v>
      </c>
      <c r="B182" s="11" t="s">
        <v>108</v>
      </c>
      <c r="C182" s="11" t="s">
        <v>15</v>
      </c>
      <c r="D182" s="18">
        <v>45758</v>
      </c>
      <c r="E182" s="11" t="s">
        <v>522</v>
      </c>
      <c r="F182" s="11" t="s">
        <v>255</v>
      </c>
      <c r="G182" s="19">
        <v>60</v>
      </c>
    </row>
    <row r="183" spans="1:7">
      <c r="A183" s="11" t="s">
        <v>75</v>
      </c>
      <c r="B183" s="11" t="s">
        <v>76</v>
      </c>
      <c r="C183" s="11" t="s">
        <v>13</v>
      </c>
      <c r="D183" s="18">
        <v>45761</v>
      </c>
      <c r="E183" s="11" t="s">
        <v>523</v>
      </c>
      <c r="F183" s="11" t="s">
        <v>225</v>
      </c>
      <c r="G183" s="19">
        <v>195000</v>
      </c>
    </row>
    <row r="184" spans="1:7">
      <c r="A184" s="11" t="s">
        <v>22</v>
      </c>
      <c r="B184" s="11" t="s">
        <v>119</v>
      </c>
      <c r="C184" s="11" t="s">
        <v>120</v>
      </c>
      <c r="D184" s="18">
        <v>45762</v>
      </c>
      <c r="E184" s="11" t="s">
        <v>524</v>
      </c>
      <c r="F184" s="11" t="s">
        <v>358</v>
      </c>
      <c r="G184" s="19">
        <v>48950</v>
      </c>
    </row>
    <row r="185" spans="1:7">
      <c r="A185" s="11" t="s">
        <v>104</v>
      </c>
      <c r="B185" s="11" t="s">
        <v>108</v>
      </c>
      <c r="C185" s="11" t="s">
        <v>15</v>
      </c>
      <c r="D185" s="18">
        <v>45762</v>
      </c>
      <c r="E185" s="11" t="s">
        <v>525</v>
      </c>
      <c r="F185" s="11" t="s">
        <v>255</v>
      </c>
      <c r="G185" s="19">
        <v>240</v>
      </c>
    </row>
    <row r="186" spans="1:7">
      <c r="A186" s="11" t="s">
        <v>104</v>
      </c>
      <c r="B186" s="11" t="s">
        <v>108</v>
      </c>
      <c r="C186" s="11" t="s">
        <v>15</v>
      </c>
      <c r="D186" s="18">
        <v>45762</v>
      </c>
      <c r="E186" s="11" t="s">
        <v>526</v>
      </c>
      <c r="F186" s="11" t="s">
        <v>255</v>
      </c>
      <c r="G186" s="19">
        <v>33000</v>
      </c>
    </row>
    <row r="187" spans="1:7">
      <c r="A187" s="11" t="s">
        <v>173</v>
      </c>
      <c r="B187" s="11" t="s">
        <v>181</v>
      </c>
      <c r="C187" s="11" t="s">
        <v>15</v>
      </c>
      <c r="D187" s="18">
        <v>45762</v>
      </c>
      <c r="E187" s="11" t="s">
        <v>527</v>
      </c>
      <c r="F187" s="11" t="s">
        <v>528</v>
      </c>
      <c r="G187" s="19">
        <v>3000000</v>
      </c>
    </row>
    <row r="188" spans="1:7">
      <c r="A188" s="11" t="s">
        <v>74</v>
      </c>
      <c r="B188" s="11" t="s">
        <v>193</v>
      </c>
      <c r="C188" s="11" t="s">
        <v>31</v>
      </c>
      <c r="D188" s="18">
        <v>45762</v>
      </c>
      <c r="E188" s="11" t="s">
        <v>529</v>
      </c>
      <c r="F188" s="11" t="s">
        <v>530</v>
      </c>
      <c r="G188" s="19">
        <v>2520830</v>
      </c>
    </row>
    <row r="189" spans="1:7">
      <c r="A189" s="11" t="s">
        <v>75</v>
      </c>
      <c r="B189" s="11" t="s">
        <v>76</v>
      </c>
      <c r="C189" s="11" t="s">
        <v>13</v>
      </c>
      <c r="D189" s="18">
        <v>45763</v>
      </c>
      <c r="E189" s="11" t="s">
        <v>531</v>
      </c>
      <c r="F189" s="11" t="s">
        <v>225</v>
      </c>
      <c r="G189" s="19">
        <v>242000</v>
      </c>
    </row>
    <row r="190" spans="1:7">
      <c r="A190" s="11" t="s">
        <v>75</v>
      </c>
      <c r="B190" s="11" t="s">
        <v>76</v>
      </c>
      <c r="C190" s="11" t="s">
        <v>13</v>
      </c>
      <c r="D190" s="18">
        <v>45763</v>
      </c>
      <c r="E190" s="11" t="s">
        <v>532</v>
      </c>
      <c r="F190" s="11" t="s">
        <v>225</v>
      </c>
      <c r="G190" s="19">
        <v>198000</v>
      </c>
    </row>
    <row r="191" spans="1:7">
      <c r="A191" s="11" t="s">
        <v>75</v>
      </c>
      <c r="B191" s="11" t="s">
        <v>76</v>
      </c>
      <c r="C191" s="11" t="s">
        <v>13</v>
      </c>
      <c r="D191" s="18">
        <v>45763</v>
      </c>
      <c r="E191" s="11" t="s">
        <v>533</v>
      </c>
      <c r="F191" s="11" t="s">
        <v>225</v>
      </c>
      <c r="G191" s="19">
        <v>388000</v>
      </c>
    </row>
    <row r="192" spans="1:7">
      <c r="A192" s="11" t="s">
        <v>74</v>
      </c>
      <c r="B192" s="11" t="s">
        <v>193</v>
      </c>
      <c r="C192" s="11" t="s">
        <v>31</v>
      </c>
      <c r="D192" s="18">
        <v>45763</v>
      </c>
      <c r="E192" s="11" t="s">
        <v>534</v>
      </c>
      <c r="F192" s="11" t="s">
        <v>535</v>
      </c>
      <c r="G192" s="19">
        <v>1034000</v>
      </c>
    </row>
    <row r="193" spans="1:7">
      <c r="A193" s="11" t="s">
        <v>54</v>
      </c>
      <c r="B193" s="11" t="s">
        <v>158</v>
      </c>
      <c r="C193" s="11" t="s">
        <v>120</v>
      </c>
      <c r="D193" s="18">
        <v>45764</v>
      </c>
      <c r="E193" s="11" t="s">
        <v>536</v>
      </c>
      <c r="F193" s="11" t="s">
        <v>249</v>
      </c>
      <c r="G193" s="19">
        <v>2336000</v>
      </c>
    </row>
    <row r="194" spans="1:7">
      <c r="A194" s="11" t="s">
        <v>54</v>
      </c>
      <c r="B194" s="11" t="s">
        <v>159</v>
      </c>
      <c r="C194" s="11" t="s">
        <v>120</v>
      </c>
      <c r="D194" s="18">
        <v>45764</v>
      </c>
      <c r="E194" s="11" t="s">
        <v>536</v>
      </c>
      <c r="F194" s="11" t="s">
        <v>249</v>
      </c>
      <c r="G194" s="19">
        <v>160000</v>
      </c>
    </row>
    <row r="195" spans="1:7">
      <c r="A195" s="11" t="s">
        <v>173</v>
      </c>
      <c r="B195" s="11" t="s">
        <v>182</v>
      </c>
      <c r="C195" s="11" t="s">
        <v>25</v>
      </c>
      <c r="D195" s="18">
        <v>45764</v>
      </c>
      <c r="E195" s="11" t="s">
        <v>537</v>
      </c>
      <c r="F195" s="11" t="s">
        <v>538</v>
      </c>
      <c r="G195" s="19">
        <v>3741850</v>
      </c>
    </row>
    <row r="196" spans="1:7">
      <c r="A196" s="11" t="s">
        <v>62</v>
      </c>
      <c r="B196" s="11" t="s">
        <v>171</v>
      </c>
      <c r="C196" s="11" t="s">
        <v>25</v>
      </c>
      <c r="D196" s="18">
        <v>45764</v>
      </c>
      <c r="E196" s="11" t="s">
        <v>537</v>
      </c>
      <c r="F196" s="11" t="s">
        <v>538</v>
      </c>
      <c r="G196" s="19">
        <v>27153380</v>
      </c>
    </row>
    <row r="197" spans="1:7">
      <c r="A197" s="11" t="s">
        <v>62</v>
      </c>
      <c r="B197" s="11" t="s">
        <v>172</v>
      </c>
      <c r="C197" s="11" t="s">
        <v>25</v>
      </c>
      <c r="D197" s="18">
        <v>45764</v>
      </c>
      <c r="E197" s="11" t="s">
        <v>537</v>
      </c>
      <c r="F197" s="11" t="s">
        <v>538</v>
      </c>
      <c r="G197" s="19">
        <v>1896840</v>
      </c>
    </row>
    <row r="198" spans="1:7">
      <c r="A198" s="11" t="s">
        <v>28</v>
      </c>
      <c r="B198" s="11" t="s">
        <v>127</v>
      </c>
      <c r="C198" s="11" t="s">
        <v>32</v>
      </c>
      <c r="D198" s="18">
        <v>45764</v>
      </c>
      <c r="E198" s="11" t="s">
        <v>539</v>
      </c>
      <c r="F198" s="11" t="s">
        <v>413</v>
      </c>
      <c r="G198" s="19">
        <v>-13300250</v>
      </c>
    </row>
    <row r="199" spans="1:7">
      <c r="A199" s="11" t="s">
        <v>28</v>
      </c>
      <c r="B199" s="11" t="s">
        <v>125</v>
      </c>
      <c r="C199" s="11" t="s">
        <v>32</v>
      </c>
      <c r="D199" s="18">
        <v>45764</v>
      </c>
      <c r="E199" s="11" t="s">
        <v>539</v>
      </c>
      <c r="F199" s="11" t="s">
        <v>413</v>
      </c>
      <c r="G199" s="19">
        <v>13300250</v>
      </c>
    </row>
    <row r="200" spans="1:7">
      <c r="A200" s="11" t="s">
        <v>28</v>
      </c>
      <c r="B200" s="11" t="s">
        <v>126</v>
      </c>
      <c r="C200" s="11" t="s">
        <v>32</v>
      </c>
      <c r="D200" s="18">
        <v>45764</v>
      </c>
      <c r="E200" s="11" t="s">
        <v>540</v>
      </c>
      <c r="F200" s="11" t="s">
        <v>411</v>
      </c>
      <c r="G200" s="19">
        <v>-22077640</v>
      </c>
    </row>
    <row r="201" spans="1:7">
      <c r="A201" s="11" t="s">
        <v>28</v>
      </c>
      <c r="B201" s="11" t="s">
        <v>125</v>
      </c>
      <c r="C201" s="11" t="s">
        <v>32</v>
      </c>
      <c r="D201" s="18">
        <v>45764</v>
      </c>
      <c r="E201" s="11" t="s">
        <v>540</v>
      </c>
      <c r="F201" s="11" t="s">
        <v>411</v>
      </c>
      <c r="G201" s="19">
        <v>22077640</v>
      </c>
    </row>
    <row r="202" spans="1:7">
      <c r="A202" s="11" t="s">
        <v>28</v>
      </c>
      <c r="B202" s="11" t="s">
        <v>126</v>
      </c>
      <c r="C202" s="11" t="s">
        <v>32</v>
      </c>
      <c r="D202" s="18">
        <v>45764</v>
      </c>
      <c r="E202" s="11" t="s">
        <v>541</v>
      </c>
      <c r="F202" s="11" t="s">
        <v>415</v>
      </c>
      <c r="G202" s="19">
        <v>-4820700</v>
      </c>
    </row>
    <row r="203" spans="1:7">
      <c r="A203" s="11" t="s">
        <v>28</v>
      </c>
      <c r="B203" s="11" t="s">
        <v>125</v>
      </c>
      <c r="C203" s="11" t="s">
        <v>32</v>
      </c>
      <c r="D203" s="18">
        <v>45764</v>
      </c>
      <c r="E203" s="11" t="s">
        <v>541</v>
      </c>
      <c r="F203" s="11" t="s">
        <v>415</v>
      </c>
      <c r="G203" s="19">
        <v>4820700</v>
      </c>
    </row>
    <row r="204" spans="1:7">
      <c r="A204" s="11" t="s">
        <v>28</v>
      </c>
      <c r="B204" s="11" t="s">
        <v>127</v>
      </c>
      <c r="C204" s="11" t="s">
        <v>32</v>
      </c>
      <c r="D204" s="18">
        <v>45764</v>
      </c>
      <c r="E204" s="11" t="s">
        <v>542</v>
      </c>
      <c r="F204" s="11" t="s">
        <v>417</v>
      </c>
      <c r="G204" s="19">
        <v>-4678500</v>
      </c>
    </row>
    <row r="205" spans="1:7">
      <c r="A205" s="11" t="s">
        <v>28</v>
      </c>
      <c r="B205" s="11" t="s">
        <v>125</v>
      </c>
      <c r="C205" s="11" t="s">
        <v>32</v>
      </c>
      <c r="D205" s="18">
        <v>45764</v>
      </c>
      <c r="E205" s="11" t="s">
        <v>542</v>
      </c>
      <c r="F205" s="11" t="s">
        <v>417</v>
      </c>
      <c r="G205" s="19">
        <v>4678500</v>
      </c>
    </row>
    <row r="206" spans="1:7">
      <c r="A206" s="11" t="s">
        <v>28</v>
      </c>
      <c r="B206" s="11" t="s">
        <v>127</v>
      </c>
      <c r="C206" s="11" t="s">
        <v>32</v>
      </c>
      <c r="D206" s="18">
        <v>45764</v>
      </c>
      <c r="E206" s="11" t="s">
        <v>543</v>
      </c>
      <c r="F206" s="11" t="s">
        <v>419</v>
      </c>
      <c r="G206" s="19">
        <v>-3348800</v>
      </c>
    </row>
    <row r="207" spans="1:7">
      <c r="A207" s="11" t="s">
        <v>28</v>
      </c>
      <c r="B207" s="11" t="s">
        <v>125</v>
      </c>
      <c r="C207" s="11" t="s">
        <v>32</v>
      </c>
      <c r="D207" s="18">
        <v>45764</v>
      </c>
      <c r="E207" s="11" t="s">
        <v>543</v>
      </c>
      <c r="F207" s="11" t="s">
        <v>419</v>
      </c>
      <c r="G207" s="19">
        <v>3348800</v>
      </c>
    </row>
    <row r="208" spans="1:7">
      <c r="A208" s="11" t="s">
        <v>28</v>
      </c>
      <c r="B208" s="11" t="s">
        <v>126</v>
      </c>
      <c r="C208" s="11" t="s">
        <v>32</v>
      </c>
      <c r="D208" s="18">
        <v>45764</v>
      </c>
      <c r="E208" s="11" t="s">
        <v>544</v>
      </c>
      <c r="F208" s="11" t="s">
        <v>421</v>
      </c>
      <c r="G208" s="19">
        <v>-21704550</v>
      </c>
    </row>
    <row r="209" spans="1:7">
      <c r="A209" s="11" t="s">
        <v>28</v>
      </c>
      <c r="B209" s="11" t="s">
        <v>125</v>
      </c>
      <c r="C209" s="11" t="s">
        <v>32</v>
      </c>
      <c r="D209" s="18">
        <v>45764</v>
      </c>
      <c r="E209" s="11" t="s">
        <v>544</v>
      </c>
      <c r="F209" s="11" t="s">
        <v>421</v>
      </c>
      <c r="G209" s="19">
        <v>21704550</v>
      </c>
    </row>
    <row r="210" spans="1:7">
      <c r="A210" s="11" t="s">
        <v>28</v>
      </c>
      <c r="B210" s="11" t="s">
        <v>126</v>
      </c>
      <c r="C210" s="11" t="s">
        <v>32</v>
      </c>
      <c r="D210" s="18">
        <v>45764</v>
      </c>
      <c r="E210" s="11" t="s">
        <v>545</v>
      </c>
      <c r="F210" s="11" t="s">
        <v>407</v>
      </c>
      <c r="G210" s="19">
        <v>-3534710</v>
      </c>
    </row>
    <row r="211" spans="1:7">
      <c r="A211" s="11" t="s">
        <v>28</v>
      </c>
      <c r="B211" s="11" t="s">
        <v>125</v>
      </c>
      <c r="C211" s="11" t="s">
        <v>32</v>
      </c>
      <c r="D211" s="18">
        <v>45764</v>
      </c>
      <c r="E211" s="11" t="s">
        <v>545</v>
      </c>
      <c r="F211" s="11" t="s">
        <v>407</v>
      </c>
      <c r="G211" s="19">
        <v>3236170</v>
      </c>
    </row>
    <row r="212" spans="1:7">
      <c r="A212" s="11" t="s">
        <v>28</v>
      </c>
      <c r="B212" s="11" t="s">
        <v>126</v>
      </c>
      <c r="C212" s="11" t="s">
        <v>32</v>
      </c>
      <c r="D212" s="18">
        <v>45764</v>
      </c>
      <c r="E212" s="11" t="s">
        <v>545</v>
      </c>
      <c r="F212" s="11" t="s">
        <v>407</v>
      </c>
      <c r="G212" s="19">
        <v>298540</v>
      </c>
    </row>
    <row r="213" spans="1:7">
      <c r="A213" s="11" t="s">
        <v>104</v>
      </c>
      <c r="B213" s="11" t="s">
        <v>108</v>
      </c>
      <c r="C213" s="11" t="s">
        <v>15</v>
      </c>
      <c r="D213" s="18">
        <v>45765</v>
      </c>
      <c r="E213" s="11" t="s">
        <v>546</v>
      </c>
      <c r="F213" s="11" t="s">
        <v>255</v>
      </c>
      <c r="G213" s="19">
        <v>480</v>
      </c>
    </row>
    <row r="214" spans="1:7">
      <c r="A214" s="11" t="s">
        <v>87</v>
      </c>
      <c r="B214" s="11" t="s">
        <v>94</v>
      </c>
      <c r="C214" s="11" t="s">
        <v>15</v>
      </c>
      <c r="D214" s="18">
        <v>45768</v>
      </c>
      <c r="E214" s="11" t="s">
        <v>547</v>
      </c>
      <c r="F214" s="11" t="s">
        <v>257</v>
      </c>
      <c r="G214" s="19">
        <v>407000</v>
      </c>
    </row>
    <row r="215" spans="1:7">
      <c r="A215" s="11" t="s">
        <v>87</v>
      </c>
      <c r="B215" s="11" t="s">
        <v>88</v>
      </c>
      <c r="C215" s="11" t="s">
        <v>92</v>
      </c>
      <c r="D215" s="18">
        <v>45768</v>
      </c>
      <c r="E215" s="11" t="s">
        <v>548</v>
      </c>
      <c r="F215" s="11" t="s">
        <v>224</v>
      </c>
      <c r="G215" s="19">
        <v>11320</v>
      </c>
    </row>
    <row r="216" spans="1:7">
      <c r="A216" s="11" t="s">
        <v>28</v>
      </c>
      <c r="B216" s="11" t="s">
        <v>126</v>
      </c>
      <c r="C216" s="11" t="s">
        <v>32</v>
      </c>
      <c r="D216" s="18">
        <v>45769</v>
      </c>
      <c r="E216" s="11" t="s">
        <v>549</v>
      </c>
      <c r="F216" s="11" t="s">
        <v>407</v>
      </c>
      <c r="G216" s="19">
        <v>-298540</v>
      </c>
    </row>
    <row r="217" spans="1:7">
      <c r="A217" s="11" t="s">
        <v>87</v>
      </c>
      <c r="B217" s="11" t="s">
        <v>94</v>
      </c>
      <c r="C217" s="11" t="s">
        <v>15</v>
      </c>
      <c r="D217" s="18">
        <v>45769</v>
      </c>
      <c r="E217" s="11" t="s">
        <v>550</v>
      </c>
      <c r="F217" s="11" t="s">
        <v>308</v>
      </c>
      <c r="G217" s="19">
        <v>42350</v>
      </c>
    </row>
    <row r="218" spans="1:7">
      <c r="A218" s="11" t="s">
        <v>75</v>
      </c>
      <c r="B218" s="11" t="s">
        <v>195</v>
      </c>
      <c r="C218" s="11" t="s">
        <v>15</v>
      </c>
      <c r="D218" s="18">
        <v>45769</v>
      </c>
      <c r="E218" s="11" t="s">
        <v>551</v>
      </c>
      <c r="F218" s="11" t="s">
        <v>225</v>
      </c>
      <c r="G218" s="19">
        <v>297000</v>
      </c>
    </row>
    <row r="219" spans="1:7">
      <c r="A219" s="11" t="s">
        <v>55</v>
      </c>
      <c r="B219" s="11" t="s">
        <v>165</v>
      </c>
      <c r="C219" s="11" t="s">
        <v>13</v>
      </c>
      <c r="D219" s="18">
        <v>45769</v>
      </c>
      <c r="E219" s="11" t="s">
        <v>552</v>
      </c>
      <c r="F219" s="11" t="s">
        <v>553</v>
      </c>
      <c r="G219" s="19">
        <v>210000</v>
      </c>
    </row>
    <row r="220" spans="1:7">
      <c r="A220" s="11" t="s">
        <v>144</v>
      </c>
      <c r="B220" s="11" t="s">
        <v>49</v>
      </c>
      <c r="C220" s="11" t="s">
        <v>50</v>
      </c>
      <c r="D220" s="18">
        <v>45769</v>
      </c>
      <c r="E220" s="11" t="s">
        <v>554</v>
      </c>
      <c r="F220" s="11" t="s">
        <v>555</v>
      </c>
      <c r="G220" s="19">
        <v>1386160</v>
      </c>
    </row>
    <row r="221" spans="1:7">
      <c r="A221" s="11" t="s">
        <v>104</v>
      </c>
      <c r="B221" s="11" t="s">
        <v>108</v>
      </c>
      <c r="C221" s="11" t="s">
        <v>12</v>
      </c>
      <c r="D221" s="18">
        <v>45769</v>
      </c>
      <c r="E221" s="11" t="s">
        <v>556</v>
      </c>
      <c r="F221" s="11" t="s">
        <v>285</v>
      </c>
      <c r="G221" s="19">
        <v>9000</v>
      </c>
    </row>
    <row r="222" spans="1:7">
      <c r="A222" s="11" t="s">
        <v>65</v>
      </c>
      <c r="B222" s="11" t="s">
        <v>67</v>
      </c>
      <c r="C222" s="11" t="s">
        <v>14</v>
      </c>
      <c r="D222" s="18">
        <v>45769</v>
      </c>
      <c r="E222" s="11" t="s">
        <v>557</v>
      </c>
      <c r="F222" s="11" t="s">
        <v>558</v>
      </c>
      <c r="G222" s="19">
        <v>27800</v>
      </c>
    </row>
    <row r="223" spans="1:7">
      <c r="A223" s="11" t="s">
        <v>144</v>
      </c>
      <c r="B223" s="11" t="s">
        <v>49</v>
      </c>
      <c r="C223" s="11" t="s">
        <v>50</v>
      </c>
      <c r="D223" s="18">
        <v>45769</v>
      </c>
      <c r="E223" s="11" t="s">
        <v>559</v>
      </c>
      <c r="F223" s="11" t="s">
        <v>267</v>
      </c>
      <c r="G223" s="19">
        <v>221200</v>
      </c>
    </row>
    <row r="224" spans="1:7">
      <c r="A224" s="11" t="s">
        <v>144</v>
      </c>
      <c r="B224" s="11" t="s">
        <v>49</v>
      </c>
      <c r="C224" s="11" t="s">
        <v>50</v>
      </c>
      <c r="D224" s="18">
        <v>45769</v>
      </c>
      <c r="E224" s="11" t="s">
        <v>560</v>
      </c>
      <c r="F224" s="11" t="s">
        <v>267</v>
      </c>
      <c r="G224" s="19">
        <v>1101100</v>
      </c>
    </row>
    <row r="225" spans="1:7">
      <c r="A225" s="11" t="s">
        <v>144</v>
      </c>
      <c r="B225" s="11" t="s">
        <v>49</v>
      </c>
      <c r="C225" s="11" t="s">
        <v>50</v>
      </c>
      <c r="D225" s="18">
        <v>45769</v>
      </c>
      <c r="E225" s="11" t="s">
        <v>561</v>
      </c>
      <c r="F225" s="11" t="s">
        <v>495</v>
      </c>
      <c r="G225" s="19">
        <v>600700</v>
      </c>
    </row>
    <row r="226" spans="1:7">
      <c r="A226" s="11" t="s">
        <v>144</v>
      </c>
      <c r="B226" s="11" t="s">
        <v>153</v>
      </c>
      <c r="C226" s="11" t="s">
        <v>13</v>
      </c>
      <c r="D226" s="18">
        <v>45769</v>
      </c>
      <c r="E226" s="11" t="s">
        <v>562</v>
      </c>
      <c r="F226" s="11" t="s">
        <v>283</v>
      </c>
      <c r="G226" s="19">
        <v>155000</v>
      </c>
    </row>
    <row r="227" spans="1:7">
      <c r="A227" s="11" t="s">
        <v>52</v>
      </c>
      <c r="B227" s="11" t="s">
        <v>53</v>
      </c>
      <c r="C227" s="11" t="s">
        <v>13</v>
      </c>
      <c r="D227" s="18">
        <v>45769</v>
      </c>
      <c r="E227" s="11" t="s">
        <v>563</v>
      </c>
      <c r="F227" s="11" t="s">
        <v>564</v>
      </c>
      <c r="G227" s="19">
        <v>361340</v>
      </c>
    </row>
    <row r="228" spans="1:7">
      <c r="A228" s="11" t="s">
        <v>144</v>
      </c>
      <c r="B228" s="11" t="s">
        <v>49</v>
      </c>
      <c r="C228" s="11" t="s">
        <v>50</v>
      </c>
      <c r="D228" s="18">
        <v>45769</v>
      </c>
      <c r="E228" s="11" t="s">
        <v>565</v>
      </c>
      <c r="F228" s="11" t="s">
        <v>265</v>
      </c>
      <c r="G228" s="19">
        <v>73000</v>
      </c>
    </row>
    <row r="229" spans="1:7">
      <c r="A229" s="11" t="s">
        <v>130</v>
      </c>
      <c r="B229" s="11" t="s">
        <v>36</v>
      </c>
      <c r="C229" s="11" t="s">
        <v>15</v>
      </c>
      <c r="D229" s="18">
        <v>45769</v>
      </c>
      <c r="E229" s="11" t="s">
        <v>566</v>
      </c>
      <c r="F229" s="11" t="s">
        <v>270</v>
      </c>
      <c r="G229" s="19">
        <v>29500</v>
      </c>
    </row>
    <row r="230" spans="1:7">
      <c r="A230" s="11" t="s">
        <v>104</v>
      </c>
      <c r="B230" s="11" t="s">
        <v>214</v>
      </c>
      <c r="C230" s="11" t="s">
        <v>14</v>
      </c>
      <c r="D230" s="18">
        <v>45769</v>
      </c>
      <c r="E230" s="11" t="s">
        <v>567</v>
      </c>
      <c r="F230" s="11" t="s">
        <v>486</v>
      </c>
      <c r="G230" s="19">
        <v>11960</v>
      </c>
    </row>
    <row r="231" spans="1:7">
      <c r="A231" s="11" t="s">
        <v>173</v>
      </c>
      <c r="B231" s="11" t="s">
        <v>180</v>
      </c>
      <c r="C231" s="11" t="s">
        <v>13</v>
      </c>
      <c r="D231" s="18">
        <v>45769</v>
      </c>
      <c r="E231" s="11" t="s">
        <v>568</v>
      </c>
      <c r="F231" s="11" t="s">
        <v>265</v>
      </c>
      <c r="G231" s="19">
        <v>596700</v>
      </c>
    </row>
    <row r="232" spans="1:7">
      <c r="A232" s="11" t="s">
        <v>55</v>
      </c>
      <c r="B232" s="11" t="s">
        <v>165</v>
      </c>
      <c r="C232" s="11" t="s">
        <v>13</v>
      </c>
      <c r="D232" s="18">
        <v>45769</v>
      </c>
      <c r="E232" s="11" t="s">
        <v>569</v>
      </c>
      <c r="F232" s="11" t="s">
        <v>570</v>
      </c>
      <c r="G232" s="19">
        <v>96000</v>
      </c>
    </row>
    <row r="233" spans="1:7">
      <c r="A233" s="11" t="s">
        <v>87</v>
      </c>
      <c r="B233" s="11" t="s">
        <v>96</v>
      </c>
      <c r="C233" s="11" t="s">
        <v>15</v>
      </c>
      <c r="D233" s="18">
        <v>45769</v>
      </c>
      <c r="E233" s="11" t="s">
        <v>571</v>
      </c>
      <c r="F233" s="11" t="s">
        <v>270</v>
      </c>
      <c r="G233" s="19">
        <v>19810</v>
      </c>
    </row>
    <row r="234" spans="1:7">
      <c r="A234" s="11" t="s">
        <v>75</v>
      </c>
      <c r="B234" s="11" t="s">
        <v>76</v>
      </c>
      <c r="C234" s="11" t="s">
        <v>13</v>
      </c>
      <c r="D234" s="18">
        <v>45769</v>
      </c>
      <c r="E234" s="11" t="s">
        <v>572</v>
      </c>
      <c r="F234" s="11" t="s">
        <v>573</v>
      </c>
      <c r="G234" s="19">
        <v>99000</v>
      </c>
    </row>
    <row r="235" spans="1:7">
      <c r="A235" s="11" t="s">
        <v>87</v>
      </c>
      <c r="B235" s="11" t="s">
        <v>95</v>
      </c>
      <c r="C235" s="11" t="s">
        <v>15</v>
      </c>
      <c r="D235" s="18">
        <v>45769</v>
      </c>
      <c r="E235" s="11" t="s">
        <v>574</v>
      </c>
      <c r="F235" s="11" t="s">
        <v>265</v>
      </c>
      <c r="G235" s="19">
        <v>49800</v>
      </c>
    </row>
    <row r="236" spans="1:7">
      <c r="A236" s="11" t="s">
        <v>104</v>
      </c>
      <c r="B236" s="11" t="s">
        <v>214</v>
      </c>
      <c r="C236" s="11" t="s">
        <v>12</v>
      </c>
      <c r="D236" s="18">
        <v>45769</v>
      </c>
      <c r="E236" s="11" t="s">
        <v>575</v>
      </c>
      <c r="F236" s="11" t="s">
        <v>460</v>
      </c>
      <c r="G236" s="19">
        <v>9000</v>
      </c>
    </row>
    <row r="237" spans="1:7">
      <c r="A237" s="11" t="s">
        <v>104</v>
      </c>
      <c r="B237" s="11" t="s">
        <v>214</v>
      </c>
      <c r="C237" s="11" t="s">
        <v>12</v>
      </c>
      <c r="D237" s="18">
        <v>45769</v>
      </c>
      <c r="E237" s="11" t="s">
        <v>576</v>
      </c>
      <c r="F237" s="11" t="s">
        <v>577</v>
      </c>
      <c r="G237" s="19">
        <v>9000</v>
      </c>
    </row>
    <row r="238" spans="1:7">
      <c r="A238" s="11" t="s">
        <v>55</v>
      </c>
      <c r="B238" s="11" t="s">
        <v>165</v>
      </c>
      <c r="C238" s="11" t="s">
        <v>13</v>
      </c>
      <c r="D238" s="18">
        <v>45769</v>
      </c>
      <c r="E238" s="11" t="s">
        <v>578</v>
      </c>
      <c r="F238" s="11" t="s">
        <v>486</v>
      </c>
      <c r="G238" s="19">
        <v>157940</v>
      </c>
    </row>
    <row r="239" spans="1:7">
      <c r="A239" s="11" t="s">
        <v>11</v>
      </c>
      <c r="B239" s="11" t="s">
        <v>115</v>
      </c>
      <c r="C239" s="11" t="s">
        <v>15</v>
      </c>
      <c r="D239" s="18">
        <v>45769</v>
      </c>
      <c r="E239" s="11" t="s">
        <v>579</v>
      </c>
      <c r="F239" s="11" t="s">
        <v>580</v>
      </c>
      <c r="G239" s="19">
        <v>40000</v>
      </c>
    </row>
    <row r="240" spans="1:7">
      <c r="A240" s="11" t="s">
        <v>72</v>
      </c>
      <c r="B240" s="11" t="s">
        <v>192</v>
      </c>
      <c r="C240" s="11" t="s">
        <v>34</v>
      </c>
      <c r="D240" s="18">
        <v>45769</v>
      </c>
      <c r="E240" s="11" t="s">
        <v>581</v>
      </c>
      <c r="F240" s="11" t="s">
        <v>295</v>
      </c>
      <c r="G240" s="19">
        <v>23850</v>
      </c>
    </row>
    <row r="241" spans="1:7">
      <c r="A241" s="11" t="s">
        <v>144</v>
      </c>
      <c r="B241" s="11" t="s">
        <v>149</v>
      </c>
      <c r="C241" s="11" t="s">
        <v>13</v>
      </c>
      <c r="D241" s="18">
        <v>45769</v>
      </c>
      <c r="E241" s="11" t="s">
        <v>582</v>
      </c>
      <c r="F241" s="11" t="s">
        <v>583</v>
      </c>
      <c r="G241" s="19">
        <v>459830</v>
      </c>
    </row>
    <row r="242" spans="1:7">
      <c r="A242" s="11" t="s">
        <v>144</v>
      </c>
      <c r="B242" s="11" t="s">
        <v>49</v>
      </c>
      <c r="C242" s="11" t="s">
        <v>50</v>
      </c>
      <c r="D242" s="18">
        <v>45769</v>
      </c>
      <c r="E242" s="11" t="s">
        <v>584</v>
      </c>
      <c r="F242" s="11" t="s">
        <v>267</v>
      </c>
      <c r="G242" s="19">
        <v>415800</v>
      </c>
    </row>
    <row r="243" spans="1:7">
      <c r="A243" s="11" t="s">
        <v>144</v>
      </c>
      <c r="B243" s="11" t="s">
        <v>49</v>
      </c>
      <c r="C243" s="11" t="s">
        <v>50</v>
      </c>
      <c r="D243" s="18">
        <v>45769</v>
      </c>
      <c r="E243" s="11" t="s">
        <v>585</v>
      </c>
      <c r="F243" s="11" t="s">
        <v>586</v>
      </c>
      <c r="G243" s="19">
        <v>661220</v>
      </c>
    </row>
    <row r="244" spans="1:7">
      <c r="A244" s="11" t="s">
        <v>144</v>
      </c>
      <c r="B244" s="11" t="s">
        <v>146</v>
      </c>
      <c r="C244" s="11" t="s">
        <v>13</v>
      </c>
      <c r="D244" s="18">
        <v>45769</v>
      </c>
      <c r="E244" s="11" t="s">
        <v>585</v>
      </c>
      <c r="F244" s="11" t="s">
        <v>587</v>
      </c>
      <c r="G244" s="19">
        <v>86400</v>
      </c>
    </row>
    <row r="245" spans="1:7">
      <c r="A245" s="11" t="s">
        <v>144</v>
      </c>
      <c r="B245" s="11" t="s">
        <v>153</v>
      </c>
      <c r="C245" s="11" t="s">
        <v>13</v>
      </c>
      <c r="D245" s="18">
        <v>45769</v>
      </c>
      <c r="E245" s="11" t="s">
        <v>588</v>
      </c>
      <c r="F245" s="11" t="s">
        <v>586</v>
      </c>
      <c r="G245" s="19">
        <v>148260</v>
      </c>
    </row>
    <row r="246" spans="1:7">
      <c r="A246" s="11" t="s">
        <v>70</v>
      </c>
      <c r="B246" s="11" t="s">
        <v>188</v>
      </c>
      <c r="C246" s="11" t="s">
        <v>13</v>
      </c>
      <c r="D246" s="18">
        <v>45769</v>
      </c>
      <c r="E246" s="11" t="s">
        <v>589</v>
      </c>
      <c r="F246" s="11" t="s">
        <v>295</v>
      </c>
      <c r="G246" s="19">
        <v>86000</v>
      </c>
    </row>
    <row r="247" spans="1:7">
      <c r="A247" s="11" t="s">
        <v>99</v>
      </c>
      <c r="B247" s="11" t="s">
        <v>99</v>
      </c>
      <c r="C247" s="11" t="s">
        <v>14</v>
      </c>
      <c r="D247" s="18">
        <v>45769</v>
      </c>
      <c r="E247" s="11" t="s">
        <v>590</v>
      </c>
      <c r="F247" s="11" t="s">
        <v>558</v>
      </c>
      <c r="G247" s="19">
        <v>21800</v>
      </c>
    </row>
    <row r="248" spans="1:7">
      <c r="A248" s="11" t="s">
        <v>52</v>
      </c>
      <c r="B248" s="11" t="s">
        <v>155</v>
      </c>
      <c r="C248" s="11" t="s">
        <v>13</v>
      </c>
      <c r="D248" s="18">
        <v>45769</v>
      </c>
      <c r="E248" s="11" t="s">
        <v>591</v>
      </c>
      <c r="F248" s="11" t="s">
        <v>272</v>
      </c>
      <c r="G248" s="19">
        <v>46500</v>
      </c>
    </row>
    <row r="249" spans="1:7">
      <c r="A249" s="11" t="s">
        <v>52</v>
      </c>
      <c r="B249" s="11" t="s">
        <v>53</v>
      </c>
      <c r="C249" s="11" t="s">
        <v>13</v>
      </c>
      <c r="D249" s="18">
        <v>45769</v>
      </c>
      <c r="E249" s="11" t="s">
        <v>592</v>
      </c>
      <c r="F249" s="11" t="s">
        <v>272</v>
      </c>
      <c r="G249" s="19">
        <v>48000</v>
      </c>
    </row>
    <row r="250" spans="1:7">
      <c r="A250" s="11" t="s">
        <v>52</v>
      </c>
      <c r="B250" s="11" t="s">
        <v>53</v>
      </c>
      <c r="C250" s="11" t="s">
        <v>13</v>
      </c>
      <c r="D250" s="18">
        <v>45769</v>
      </c>
      <c r="E250" s="11" t="s">
        <v>593</v>
      </c>
      <c r="F250" s="11" t="s">
        <v>283</v>
      </c>
      <c r="G250" s="19">
        <v>118000</v>
      </c>
    </row>
    <row r="251" spans="1:7">
      <c r="A251" s="11" t="s">
        <v>173</v>
      </c>
      <c r="B251" s="11" t="s">
        <v>180</v>
      </c>
      <c r="C251" s="11" t="s">
        <v>13</v>
      </c>
      <c r="D251" s="18">
        <v>45769</v>
      </c>
      <c r="E251" s="11" t="s">
        <v>594</v>
      </c>
      <c r="F251" s="11" t="s">
        <v>283</v>
      </c>
      <c r="G251" s="19">
        <v>329100</v>
      </c>
    </row>
    <row r="252" spans="1:7">
      <c r="A252" s="11" t="s">
        <v>173</v>
      </c>
      <c r="B252" s="11" t="s">
        <v>180</v>
      </c>
      <c r="C252" s="11" t="s">
        <v>13</v>
      </c>
      <c r="D252" s="18">
        <v>45769</v>
      </c>
      <c r="E252" s="11" t="s">
        <v>595</v>
      </c>
      <c r="F252" s="11" t="s">
        <v>283</v>
      </c>
      <c r="G252" s="19">
        <v>305150</v>
      </c>
    </row>
    <row r="253" spans="1:7">
      <c r="A253" s="11" t="s">
        <v>130</v>
      </c>
      <c r="B253" s="11" t="s">
        <v>131</v>
      </c>
      <c r="C253" s="11" t="s">
        <v>34</v>
      </c>
      <c r="D253" s="18">
        <v>45769</v>
      </c>
      <c r="E253" s="11" t="s">
        <v>596</v>
      </c>
      <c r="F253" s="11" t="s">
        <v>283</v>
      </c>
      <c r="G253" s="19">
        <v>59600</v>
      </c>
    </row>
    <row r="254" spans="1:7">
      <c r="A254" s="11" t="s">
        <v>52</v>
      </c>
      <c r="B254" s="11" t="s">
        <v>156</v>
      </c>
      <c r="C254" s="11" t="s">
        <v>13</v>
      </c>
      <c r="D254" s="18">
        <v>45769</v>
      </c>
      <c r="E254" s="11" t="s">
        <v>597</v>
      </c>
      <c r="F254" s="11" t="s">
        <v>598</v>
      </c>
      <c r="G254" s="19">
        <v>14000</v>
      </c>
    </row>
    <row r="255" spans="1:7">
      <c r="A255" s="11" t="s">
        <v>104</v>
      </c>
      <c r="B255" s="11" t="s">
        <v>105</v>
      </c>
      <c r="C255" s="11" t="s">
        <v>14</v>
      </c>
      <c r="D255" s="18">
        <v>45769</v>
      </c>
      <c r="E255" s="11" t="s">
        <v>599</v>
      </c>
      <c r="F255" s="11" t="s">
        <v>600</v>
      </c>
      <c r="G255" s="19">
        <v>515100</v>
      </c>
    </row>
    <row r="256" spans="1:7">
      <c r="A256" s="11" t="s">
        <v>72</v>
      </c>
      <c r="B256" s="11" t="s">
        <v>192</v>
      </c>
      <c r="C256" s="11" t="s">
        <v>34</v>
      </c>
      <c r="D256" s="18">
        <v>45769</v>
      </c>
      <c r="E256" s="11" t="s">
        <v>601</v>
      </c>
      <c r="F256" s="11" t="s">
        <v>295</v>
      </c>
      <c r="G256" s="19">
        <v>60600</v>
      </c>
    </row>
    <row r="257" spans="1:7">
      <c r="A257" s="11" t="s">
        <v>104</v>
      </c>
      <c r="B257" s="11" t="s">
        <v>108</v>
      </c>
      <c r="C257" s="11" t="s">
        <v>12</v>
      </c>
      <c r="D257" s="18">
        <v>45769</v>
      </c>
      <c r="E257" s="11" t="s">
        <v>602</v>
      </c>
      <c r="F257" s="11" t="s">
        <v>285</v>
      </c>
      <c r="G257" s="19">
        <v>9000</v>
      </c>
    </row>
    <row r="258" spans="1:7">
      <c r="A258" s="11" t="s">
        <v>72</v>
      </c>
      <c r="B258" s="11" t="s">
        <v>192</v>
      </c>
      <c r="C258" s="11" t="s">
        <v>34</v>
      </c>
      <c r="D258" s="18">
        <v>45769</v>
      </c>
      <c r="E258" s="11" t="s">
        <v>603</v>
      </c>
      <c r="F258" s="11" t="s">
        <v>586</v>
      </c>
      <c r="G258" s="19">
        <v>97400</v>
      </c>
    </row>
    <row r="259" spans="1:7">
      <c r="A259" s="11" t="s">
        <v>72</v>
      </c>
      <c r="B259" s="11" t="s">
        <v>192</v>
      </c>
      <c r="C259" s="11" t="s">
        <v>34</v>
      </c>
      <c r="D259" s="18">
        <v>45769</v>
      </c>
      <c r="E259" s="11" t="s">
        <v>604</v>
      </c>
      <c r="F259" s="11" t="s">
        <v>283</v>
      </c>
      <c r="G259" s="19">
        <v>38770</v>
      </c>
    </row>
    <row r="260" spans="1:7">
      <c r="A260" s="11" t="s">
        <v>104</v>
      </c>
      <c r="B260" s="11" t="s">
        <v>108</v>
      </c>
      <c r="C260" s="11" t="s">
        <v>14</v>
      </c>
      <c r="D260" s="18">
        <v>45769</v>
      </c>
      <c r="E260" s="11" t="s">
        <v>605</v>
      </c>
      <c r="F260" s="11" t="s">
        <v>558</v>
      </c>
      <c r="G260" s="19">
        <v>121440</v>
      </c>
    </row>
    <row r="261" spans="1:7">
      <c r="A261" s="11" t="s">
        <v>28</v>
      </c>
      <c r="B261" s="11" t="s">
        <v>127</v>
      </c>
      <c r="C261" s="11" t="s">
        <v>32</v>
      </c>
      <c r="D261" s="18">
        <v>45769</v>
      </c>
      <c r="E261" s="11" t="s">
        <v>606</v>
      </c>
      <c r="F261" s="11" t="s">
        <v>407</v>
      </c>
      <c r="G261" s="19">
        <v>298540</v>
      </c>
    </row>
    <row r="262" spans="1:7">
      <c r="A262" s="11" t="s">
        <v>43</v>
      </c>
      <c r="B262" s="11" t="s">
        <v>139</v>
      </c>
      <c r="C262" s="11" t="s">
        <v>15</v>
      </c>
      <c r="D262" s="18">
        <v>45770</v>
      </c>
      <c r="E262" s="11" t="s">
        <v>607</v>
      </c>
      <c r="F262" s="11" t="s">
        <v>243</v>
      </c>
      <c r="G262" s="19">
        <v>24750</v>
      </c>
    </row>
    <row r="263" spans="1:7">
      <c r="A263" s="11" t="s">
        <v>55</v>
      </c>
      <c r="B263" s="11" t="s">
        <v>165</v>
      </c>
      <c r="C263" s="11" t="s">
        <v>13</v>
      </c>
      <c r="D263" s="18">
        <v>45770</v>
      </c>
      <c r="E263" s="11" t="s">
        <v>608</v>
      </c>
      <c r="F263" s="11" t="s">
        <v>283</v>
      </c>
      <c r="G263" s="19">
        <v>220820</v>
      </c>
    </row>
    <row r="264" spans="1:7">
      <c r="A264" s="11" t="s">
        <v>52</v>
      </c>
      <c r="B264" s="11" t="s">
        <v>53</v>
      </c>
      <c r="C264" s="11" t="s">
        <v>13</v>
      </c>
      <c r="D264" s="18">
        <v>45770</v>
      </c>
      <c r="E264" s="11" t="s">
        <v>609</v>
      </c>
      <c r="F264" s="11" t="s">
        <v>558</v>
      </c>
      <c r="G264" s="19">
        <v>115000</v>
      </c>
    </row>
    <row r="265" spans="1:7">
      <c r="A265" s="11" t="s">
        <v>200</v>
      </c>
      <c r="B265" s="11" t="s">
        <v>202</v>
      </c>
      <c r="C265" s="11" t="s">
        <v>25</v>
      </c>
      <c r="D265" s="18">
        <v>45771</v>
      </c>
      <c r="E265" s="11" t="s">
        <v>610</v>
      </c>
      <c r="F265" s="11" t="s">
        <v>611</v>
      </c>
      <c r="G265" s="19">
        <v>320000</v>
      </c>
    </row>
    <row r="266" spans="1:7">
      <c r="A266" s="11" t="s">
        <v>72</v>
      </c>
      <c r="B266" s="11" t="s">
        <v>192</v>
      </c>
      <c r="C266" s="11" t="s">
        <v>25</v>
      </c>
      <c r="D266" s="18">
        <v>45771</v>
      </c>
      <c r="E266" s="11" t="s">
        <v>612</v>
      </c>
      <c r="F266" s="11" t="s">
        <v>613</v>
      </c>
      <c r="G266" s="19">
        <v>228000</v>
      </c>
    </row>
    <row r="267" spans="1:7">
      <c r="A267" s="11" t="s">
        <v>130</v>
      </c>
      <c r="B267" s="11" t="s">
        <v>35</v>
      </c>
      <c r="C267" s="11" t="s">
        <v>34</v>
      </c>
      <c r="D267" s="18">
        <v>45771</v>
      </c>
      <c r="E267" s="11" t="s">
        <v>614</v>
      </c>
      <c r="F267" s="11" t="s">
        <v>615</v>
      </c>
      <c r="G267" s="19">
        <v>539320</v>
      </c>
    </row>
    <row r="268" spans="1:7">
      <c r="A268" s="11" t="s">
        <v>52</v>
      </c>
      <c r="B268" s="11" t="s">
        <v>155</v>
      </c>
      <c r="C268" s="11" t="s">
        <v>13</v>
      </c>
      <c r="D268" s="18">
        <v>45771</v>
      </c>
      <c r="E268" s="11" t="s">
        <v>616</v>
      </c>
      <c r="F268" s="11" t="s">
        <v>617</v>
      </c>
      <c r="G268" s="19">
        <v>99000</v>
      </c>
    </row>
    <row r="269" spans="1:7">
      <c r="A269" s="11" t="s">
        <v>130</v>
      </c>
      <c r="B269" s="11" t="s">
        <v>132</v>
      </c>
      <c r="C269" s="11" t="s">
        <v>15</v>
      </c>
      <c r="D269" s="18">
        <v>45772</v>
      </c>
      <c r="E269" s="11" t="s">
        <v>618</v>
      </c>
      <c r="F269" s="11" t="s">
        <v>317</v>
      </c>
      <c r="G269" s="19">
        <v>450000</v>
      </c>
    </row>
    <row r="270" spans="1:7">
      <c r="A270" s="11" t="s">
        <v>87</v>
      </c>
      <c r="B270" s="11" t="s">
        <v>88</v>
      </c>
      <c r="C270" s="11" t="s">
        <v>92</v>
      </c>
      <c r="D270" s="18">
        <v>45772</v>
      </c>
      <c r="E270" s="11" t="s">
        <v>619</v>
      </c>
      <c r="F270" s="11" t="s">
        <v>323</v>
      </c>
      <c r="G270" s="19">
        <v>13200</v>
      </c>
    </row>
    <row r="271" spans="1:7">
      <c r="A271" s="11" t="s">
        <v>87</v>
      </c>
      <c r="B271" s="11" t="s">
        <v>30</v>
      </c>
      <c r="C271" s="11" t="s">
        <v>30</v>
      </c>
      <c r="D271" s="18">
        <v>45772</v>
      </c>
      <c r="E271" s="11" t="s">
        <v>620</v>
      </c>
      <c r="F271" s="11" t="s">
        <v>321</v>
      </c>
      <c r="G271" s="19">
        <v>4604260</v>
      </c>
    </row>
    <row r="272" spans="1:7">
      <c r="A272" s="11" t="s">
        <v>28</v>
      </c>
      <c r="B272" s="11" t="s">
        <v>29</v>
      </c>
      <c r="C272" s="11" t="s">
        <v>30</v>
      </c>
      <c r="D272" s="18">
        <v>45772</v>
      </c>
      <c r="E272" s="11" t="s">
        <v>621</v>
      </c>
      <c r="F272" s="11" t="s">
        <v>321</v>
      </c>
      <c r="G272" s="19">
        <v>1692110</v>
      </c>
    </row>
    <row r="273" spans="1:7">
      <c r="A273" s="11" t="s">
        <v>38</v>
      </c>
      <c r="B273" s="11" t="s">
        <v>136</v>
      </c>
      <c r="C273" s="11" t="s">
        <v>15</v>
      </c>
      <c r="D273" s="18">
        <v>45772</v>
      </c>
      <c r="E273" s="11" t="s">
        <v>622</v>
      </c>
      <c r="F273" s="11" t="s">
        <v>326</v>
      </c>
      <c r="G273" s="19">
        <v>267320</v>
      </c>
    </row>
    <row r="274" spans="1:7">
      <c r="A274" s="11" t="s">
        <v>104</v>
      </c>
      <c r="B274" s="11" t="s">
        <v>108</v>
      </c>
      <c r="C274" s="11" t="s">
        <v>15</v>
      </c>
      <c r="D274" s="18">
        <v>45775</v>
      </c>
      <c r="E274" s="11" t="s">
        <v>623</v>
      </c>
      <c r="F274" s="11" t="s">
        <v>255</v>
      </c>
      <c r="G274" s="19">
        <v>180</v>
      </c>
    </row>
    <row r="275" spans="1:7">
      <c r="A275" s="11" t="s">
        <v>38</v>
      </c>
      <c r="B275" s="11" t="s">
        <v>39</v>
      </c>
      <c r="C275" s="11" t="s">
        <v>15</v>
      </c>
      <c r="D275" s="18">
        <v>45775</v>
      </c>
      <c r="E275" s="11" t="s">
        <v>624</v>
      </c>
      <c r="F275" s="11" t="s">
        <v>330</v>
      </c>
      <c r="G275" s="19">
        <v>16500</v>
      </c>
    </row>
    <row r="276" spans="1:7">
      <c r="A276" s="11" t="s">
        <v>87</v>
      </c>
      <c r="B276" s="11" t="s">
        <v>88</v>
      </c>
      <c r="C276" s="11" t="s">
        <v>92</v>
      </c>
      <c r="D276" s="18">
        <v>45775</v>
      </c>
      <c r="E276" s="11" t="s">
        <v>625</v>
      </c>
      <c r="F276" s="11" t="s">
        <v>330</v>
      </c>
      <c r="G276" s="19">
        <v>1019400</v>
      </c>
    </row>
    <row r="277" spans="1:7">
      <c r="A277" s="11" t="s">
        <v>38</v>
      </c>
      <c r="B277" s="11" t="s">
        <v>136</v>
      </c>
      <c r="C277" s="11" t="s">
        <v>15</v>
      </c>
      <c r="D277" s="18">
        <v>45775</v>
      </c>
      <c r="E277" s="11" t="s">
        <v>626</v>
      </c>
      <c r="F277" s="11" t="s">
        <v>335</v>
      </c>
      <c r="G277" s="19">
        <v>858600</v>
      </c>
    </row>
    <row r="278" spans="1:7">
      <c r="A278" s="11" t="s">
        <v>75</v>
      </c>
      <c r="B278" s="11" t="s">
        <v>76</v>
      </c>
      <c r="C278" s="11" t="s">
        <v>15</v>
      </c>
      <c r="D278" s="18">
        <v>45776</v>
      </c>
      <c r="E278" s="11" t="s">
        <v>627</v>
      </c>
      <c r="F278" s="11" t="s">
        <v>628</v>
      </c>
      <c r="G278" s="19">
        <v>399300</v>
      </c>
    </row>
    <row r="279" spans="1:7">
      <c r="A279" s="11" t="s">
        <v>87</v>
      </c>
      <c r="B279" s="11" t="s">
        <v>94</v>
      </c>
      <c r="C279" s="11" t="s">
        <v>15</v>
      </c>
      <c r="D279" s="18">
        <v>45776</v>
      </c>
      <c r="E279" s="11" t="s">
        <v>629</v>
      </c>
      <c r="F279" s="11" t="s">
        <v>346</v>
      </c>
      <c r="G279" s="19">
        <v>330000</v>
      </c>
    </row>
    <row r="280" spans="1:7">
      <c r="A280" s="11" t="s">
        <v>75</v>
      </c>
      <c r="B280" s="11" t="s">
        <v>76</v>
      </c>
      <c r="C280" s="11" t="s">
        <v>15</v>
      </c>
      <c r="D280" s="18">
        <v>45776</v>
      </c>
      <c r="E280" s="11" t="s">
        <v>630</v>
      </c>
      <c r="F280" s="11" t="s">
        <v>344</v>
      </c>
      <c r="G280" s="19">
        <v>1166000</v>
      </c>
    </row>
    <row r="281" spans="1:7">
      <c r="A281" s="11" t="s">
        <v>38</v>
      </c>
      <c r="B281" s="11" t="s">
        <v>138</v>
      </c>
      <c r="C281" s="11" t="s">
        <v>15</v>
      </c>
      <c r="D281" s="18">
        <v>45776</v>
      </c>
      <c r="E281" s="11" t="s">
        <v>631</v>
      </c>
      <c r="F281" s="11" t="s">
        <v>348</v>
      </c>
      <c r="G281" s="19">
        <v>1299020</v>
      </c>
    </row>
    <row r="282" spans="1:7">
      <c r="A282" s="11" t="s">
        <v>87</v>
      </c>
      <c r="B282" s="11" t="s">
        <v>94</v>
      </c>
      <c r="C282" s="11" t="s">
        <v>15</v>
      </c>
      <c r="D282" s="18">
        <v>45776</v>
      </c>
      <c r="E282" s="11" t="s">
        <v>632</v>
      </c>
      <c r="F282" s="11" t="s">
        <v>352</v>
      </c>
      <c r="G282" s="19">
        <v>4096220</v>
      </c>
    </row>
    <row r="283" spans="1:7">
      <c r="A283" s="11" t="s">
        <v>87</v>
      </c>
      <c r="B283" s="11" t="s">
        <v>94</v>
      </c>
      <c r="C283" s="11" t="s">
        <v>15</v>
      </c>
      <c r="D283" s="18">
        <v>45776</v>
      </c>
      <c r="E283" s="11" t="s">
        <v>633</v>
      </c>
      <c r="F283" s="11" t="s">
        <v>342</v>
      </c>
      <c r="G283" s="19">
        <v>660000</v>
      </c>
    </row>
    <row r="284" spans="1:7">
      <c r="A284" s="11" t="s">
        <v>87</v>
      </c>
      <c r="B284" s="11" t="s">
        <v>94</v>
      </c>
      <c r="C284" s="11" t="s">
        <v>15</v>
      </c>
      <c r="D284" s="18">
        <v>45776</v>
      </c>
      <c r="E284" s="11" t="s">
        <v>634</v>
      </c>
      <c r="F284" s="11" t="s">
        <v>340</v>
      </c>
      <c r="G284" s="19">
        <v>198000</v>
      </c>
    </row>
    <row r="285" spans="1:7">
      <c r="A285" s="11" t="s">
        <v>87</v>
      </c>
      <c r="B285" s="11" t="s">
        <v>97</v>
      </c>
      <c r="C285" s="11" t="s">
        <v>15</v>
      </c>
      <c r="D285" s="18">
        <v>45776</v>
      </c>
      <c r="E285" s="11" t="s">
        <v>635</v>
      </c>
      <c r="F285" s="11" t="s">
        <v>350</v>
      </c>
      <c r="G285" s="19">
        <v>4551520</v>
      </c>
    </row>
    <row r="286" spans="1:7">
      <c r="A286" s="11" t="s">
        <v>87</v>
      </c>
      <c r="B286" s="11" t="s">
        <v>210</v>
      </c>
      <c r="C286" s="11" t="s">
        <v>15</v>
      </c>
      <c r="D286" s="18">
        <v>45776</v>
      </c>
      <c r="E286" s="11" t="s">
        <v>636</v>
      </c>
      <c r="F286" s="11" t="s">
        <v>384</v>
      </c>
      <c r="G286" s="19">
        <v>6310760</v>
      </c>
    </row>
    <row r="287" spans="1:7">
      <c r="A287" s="11" t="s">
        <v>28</v>
      </c>
      <c r="B287" s="11" t="s">
        <v>126</v>
      </c>
      <c r="C287" s="11" t="s">
        <v>15</v>
      </c>
      <c r="D287" s="18">
        <v>45776</v>
      </c>
      <c r="E287" s="11" t="s">
        <v>637</v>
      </c>
      <c r="F287" s="11" t="s">
        <v>319</v>
      </c>
      <c r="G287" s="19">
        <v>599500</v>
      </c>
    </row>
    <row r="288" spans="1:7">
      <c r="A288" s="11" t="s">
        <v>109</v>
      </c>
      <c r="B288" s="11" t="s">
        <v>215</v>
      </c>
      <c r="C288" s="11" t="s">
        <v>120</v>
      </c>
      <c r="D288" s="18">
        <v>45777</v>
      </c>
      <c r="E288" s="11" t="s">
        <v>638</v>
      </c>
      <c r="F288" s="11" t="s">
        <v>370</v>
      </c>
      <c r="G288" s="19">
        <v>1262560</v>
      </c>
    </row>
    <row r="289" spans="1:7">
      <c r="A289" s="11" t="s">
        <v>55</v>
      </c>
      <c r="B289" s="11" t="s">
        <v>163</v>
      </c>
      <c r="C289" s="11" t="s">
        <v>120</v>
      </c>
      <c r="D289" s="18">
        <v>45777</v>
      </c>
      <c r="E289" s="11" t="s">
        <v>639</v>
      </c>
      <c r="F289" s="11" t="s">
        <v>372</v>
      </c>
      <c r="G289" s="19">
        <v>2525120</v>
      </c>
    </row>
    <row r="290" spans="1:7">
      <c r="A290" s="11" t="s">
        <v>200</v>
      </c>
      <c r="B290" s="11" t="s">
        <v>201</v>
      </c>
      <c r="C290" s="11" t="s">
        <v>120</v>
      </c>
      <c r="D290" s="18">
        <v>45777</v>
      </c>
      <c r="E290" s="11" t="s">
        <v>640</v>
      </c>
      <c r="F290" s="11" t="s">
        <v>368</v>
      </c>
      <c r="G290" s="19">
        <v>4416540</v>
      </c>
    </row>
    <row r="291" spans="1:7">
      <c r="A291" s="11" t="s">
        <v>22</v>
      </c>
      <c r="B291" s="11" t="s">
        <v>119</v>
      </c>
      <c r="C291" s="11" t="s">
        <v>120</v>
      </c>
      <c r="D291" s="18">
        <v>45777</v>
      </c>
      <c r="E291" s="11" t="s">
        <v>641</v>
      </c>
      <c r="F291" s="11" t="s">
        <v>642</v>
      </c>
      <c r="G291" s="19">
        <v>13029130</v>
      </c>
    </row>
    <row r="292" spans="1:7">
      <c r="A292" s="11" t="s">
        <v>72</v>
      </c>
      <c r="B292" s="11" t="s">
        <v>192</v>
      </c>
      <c r="C292" s="11" t="s">
        <v>120</v>
      </c>
      <c r="D292" s="18">
        <v>45777</v>
      </c>
      <c r="E292" s="11" t="s">
        <v>643</v>
      </c>
      <c r="F292" s="11" t="s">
        <v>446</v>
      </c>
      <c r="G292" s="19">
        <v>1400000</v>
      </c>
    </row>
    <row r="293" spans="1:7">
      <c r="A293" s="11" t="s">
        <v>144</v>
      </c>
      <c r="B293" s="11" t="s">
        <v>147</v>
      </c>
      <c r="C293" s="11" t="s">
        <v>25</v>
      </c>
      <c r="D293" s="18">
        <v>45777</v>
      </c>
      <c r="E293" s="11" t="s">
        <v>643</v>
      </c>
      <c r="F293" s="11" t="s">
        <v>445</v>
      </c>
      <c r="G293" s="19">
        <v>1225000</v>
      </c>
    </row>
    <row r="294" spans="1:7">
      <c r="A294" s="11" t="s">
        <v>173</v>
      </c>
      <c r="B294" s="11" t="s">
        <v>180</v>
      </c>
      <c r="C294" s="11" t="s">
        <v>25</v>
      </c>
      <c r="D294" s="18">
        <v>45777</v>
      </c>
      <c r="E294" s="11" t="s">
        <v>644</v>
      </c>
      <c r="F294" s="11" t="s">
        <v>249</v>
      </c>
      <c r="G294" s="19">
        <v>720000</v>
      </c>
    </row>
    <row r="295" spans="1:7">
      <c r="A295" s="11" t="s">
        <v>173</v>
      </c>
      <c r="B295" s="11" t="s">
        <v>180</v>
      </c>
      <c r="C295" s="11" t="s">
        <v>25</v>
      </c>
      <c r="D295" s="18">
        <v>45777</v>
      </c>
      <c r="E295" s="11" t="s">
        <v>645</v>
      </c>
      <c r="F295" s="11" t="s">
        <v>646</v>
      </c>
      <c r="G295" s="19">
        <v>160000</v>
      </c>
    </row>
    <row r="296" spans="1:7">
      <c r="A296" s="11" t="s">
        <v>173</v>
      </c>
      <c r="B296" s="11" t="s">
        <v>180</v>
      </c>
      <c r="C296" s="11" t="s">
        <v>25</v>
      </c>
      <c r="D296" s="18">
        <v>45777</v>
      </c>
      <c r="E296" s="11" t="s">
        <v>647</v>
      </c>
      <c r="F296" s="11" t="s">
        <v>424</v>
      </c>
      <c r="G296" s="19">
        <v>7600000</v>
      </c>
    </row>
    <row r="297" spans="1:7">
      <c r="A297" s="11" t="s">
        <v>55</v>
      </c>
      <c r="B297" s="11" t="s">
        <v>166</v>
      </c>
      <c r="C297" s="11" t="s">
        <v>25</v>
      </c>
      <c r="D297" s="18">
        <v>45777</v>
      </c>
      <c r="E297" s="11" t="s">
        <v>648</v>
      </c>
      <c r="F297" s="11" t="s">
        <v>649</v>
      </c>
      <c r="G297" s="19">
        <v>640000</v>
      </c>
    </row>
    <row r="298" spans="1:7">
      <c r="A298" s="11" t="s">
        <v>173</v>
      </c>
      <c r="B298" s="11" t="s">
        <v>179</v>
      </c>
      <c r="C298" s="11" t="s">
        <v>15</v>
      </c>
      <c r="D298" s="18">
        <v>45777</v>
      </c>
      <c r="E298" s="11" t="s">
        <v>650</v>
      </c>
      <c r="F298" s="11" t="s">
        <v>651</v>
      </c>
      <c r="G298" s="19">
        <v>220000</v>
      </c>
    </row>
    <row r="299" spans="1:7">
      <c r="A299" s="11" t="s">
        <v>173</v>
      </c>
      <c r="B299" s="11" t="s">
        <v>179</v>
      </c>
      <c r="C299" s="11" t="s">
        <v>13</v>
      </c>
      <c r="D299" s="18">
        <v>45777</v>
      </c>
      <c r="E299" s="11" t="s">
        <v>650</v>
      </c>
      <c r="F299" s="11" t="s">
        <v>651</v>
      </c>
      <c r="G299" s="19">
        <v>40000</v>
      </c>
    </row>
    <row r="300" spans="1:7">
      <c r="A300" s="11" t="s">
        <v>22</v>
      </c>
      <c r="B300" s="11" t="s">
        <v>119</v>
      </c>
      <c r="C300" s="11" t="s">
        <v>120</v>
      </c>
      <c r="D300" s="18">
        <v>45777</v>
      </c>
      <c r="E300" s="11" t="s">
        <v>652</v>
      </c>
      <c r="F300" s="11" t="s">
        <v>358</v>
      </c>
      <c r="G300" s="19">
        <v>97890</v>
      </c>
    </row>
    <row r="301" spans="1:7">
      <c r="A301" s="11" t="s">
        <v>72</v>
      </c>
      <c r="B301" s="11" t="s">
        <v>192</v>
      </c>
      <c r="C301" s="11" t="s">
        <v>25</v>
      </c>
      <c r="D301" s="18">
        <v>45777</v>
      </c>
      <c r="E301" s="11" t="s">
        <v>653</v>
      </c>
      <c r="F301" s="11" t="s">
        <v>654</v>
      </c>
      <c r="G301" s="19">
        <v>1325000</v>
      </c>
    </row>
    <row r="302" spans="1:7">
      <c r="A302" s="11" t="s">
        <v>144</v>
      </c>
      <c r="B302" s="11" t="s">
        <v>150</v>
      </c>
      <c r="C302" s="11" t="s">
        <v>25</v>
      </c>
      <c r="D302" s="18">
        <v>45777</v>
      </c>
      <c r="E302" s="11" t="s">
        <v>655</v>
      </c>
      <c r="F302" s="11" t="s">
        <v>398</v>
      </c>
      <c r="G302" s="19">
        <v>1400000</v>
      </c>
    </row>
    <row r="303" spans="1:7">
      <c r="A303" s="11" t="s">
        <v>72</v>
      </c>
      <c r="B303" s="11" t="s">
        <v>192</v>
      </c>
      <c r="C303" s="11" t="s">
        <v>25</v>
      </c>
      <c r="D303" s="18">
        <v>45777</v>
      </c>
      <c r="E303" s="11" t="s">
        <v>655</v>
      </c>
      <c r="F303" s="11" t="s">
        <v>399</v>
      </c>
      <c r="G303" s="19">
        <v>2950000</v>
      </c>
    </row>
    <row r="304" spans="1:7">
      <c r="A304" s="11" t="s">
        <v>173</v>
      </c>
      <c r="B304" s="11" t="s">
        <v>174</v>
      </c>
      <c r="C304" s="11" t="s">
        <v>13</v>
      </c>
      <c r="D304" s="18">
        <v>45777</v>
      </c>
      <c r="E304" s="11" t="s">
        <v>656</v>
      </c>
      <c r="F304" s="11" t="s">
        <v>391</v>
      </c>
      <c r="G304" s="19">
        <v>570000</v>
      </c>
    </row>
    <row r="305" spans="1:7">
      <c r="A305" s="11" t="s">
        <v>173</v>
      </c>
      <c r="B305" s="11" t="s">
        <v>176</v>
      </c>
      <c r="C305" s="11" t="s">
        <v>13</v>
      </c>
      <c r="D305" s="18">
        <v>45777</v>
      </c>
      <c r="E305" s="11" t="s">
        <v>657</v>
      </c>
      <c r="F305" s="11" t="s">
        <v>394</v>
      </c>
      <c r="G305" s="19">
        <v>484000</v>
      </c>
    </row>
    <row r="306" spans="1:7">
      <c r="A306" s="11" t="s">
        <v>173</v>
      </c>
      <c r="B306" s="11" t="s">
        <v>175</v>
      </c>
      <c r="C306" s="11" t="s">
        <v>13</v>
      </c>
      <c r="D306" s="18">
        <v>45777</v>
      </c>
      <c r="E306" s="11" t="s">
        <v>657</v>
      </c>
      <c r="F306" s="11" t="s">
        <v>393</v>
      </c>
      <c r="G306" s="19">
        <v>660000</v>
      </c>
    </row>
    <row r="307" spans="1:7">
      <c r="A307" s="11" t="s">
        <v>70</v>
      </c>
      <c r="B307" s="11" t="s">
        <v>191</v>
      </c>
      <c r="C307" s="11" t="s">
        <v>25</v>
      </c>
      <c r="D307" s="18">
        <v>45777</v>
      </c>
      <c r="E307" s="11" t="s">
        <v>658</v>
      </c>
      <c r="F307" s="11" t="s">
        <v>659</v>
      </c>
      <c r="G307" s="19">
        <v>600000</v>
      </c>
    </row>
    <row r="308" spans="1:7">
      <c r="A308" s="11" t="s">
        <v>83</v>
      </c>
      <c r="B308" s="11" t="s">
        <v>206</v>
      </c>
      <c r="C308" s="11" t="s">
        <v>25</v>
      </c>
      <c r="D308" s="18">
        <v>45777</v>
      </c>
      <c r="E308" s="11" t="s">
        <v>660</v>
      </c>
      <c r="F308" s="11" t="s">
        <v>661</v>
      </c>
      <c r="G308" s="19">
        <v>400000</v>
      </c>
    </row>
    <row r="309" spans="1:7">
      <c r="A309" s="11" t="s">
        <v>87</v>
      </c>
      <c r="B309" s="11" t="s">
        <v>95</v>
      </c>
      <c r="C309" s="11" t="s">
        <v>15</v>
      </c>
      <c r="D309" s="18">
        <v>45777</v>
      </c>
      <c r="E309" s="11" t="s">
        <v>662</v>
      </c>
      <c r="F309" s="11" t="s">
        <v>245</v>
      </c>
      <c r="G309" s="19">
        <v>231000</v>
      </c>
    </row>
    <row r="310" spans="1:7">
      <c r="A310" s="11" t="s">
        <v>104</v>
      </c>
      <c r="B310" s="11" t="s">
        <v>108</v>
      </c>
      <c r="C310" s="11" t="s">
        <v>15</v>
      </c>
      <c r="D310" s="18">
        <v>45777</v>
      </c>
      <c r="E310" s="11" t="s">
        <v>663</v>
      </c>
      <c r="F310" s="11" t="s">
        <v>255</v>
      </c>
      <c r="G310" s="19">
        <v>120</v>
      </c>
    </row>
    <row r="311" spans="1:7">
      <c r="A311" s="11" t="s">
        <v>87</v>
      </c>
      <c r="B311" s="11" t="s">
        <v>89</v>
      </c>
      <c r="C311" s="11" t="s">
        <v>89</v>
      </c>
      <c r="D311" s="18">
        <v>45777</v>
      </c>
      <c r="E311" s="11" t="s">
        <v>664</v>
      </c>
      <c r="F311" s="11" t="s">
        <v>378</v>
      </c>
      <c r="G311" s="19">
        <v>2500</v>
      </c>
    </row>
    <row r="312" spans="1:7">
      <c r="A312" s="11" t="s">
        <v>87</v>
      </c>
      <c r="B312" s="11" t="s">
        <v>89</v>
      </c>
      <c r="C312" s="11" t="s">
        <v>89</v>
      </c>
      <c r="D312" s="18">
        <v>45777</v>
      </c>
      <c r="E312" s="11" t="s">
        <v>665</v>
      </c>
      <c r="F312" s="11" t="s">
        <v>382</v>
      </c>
      <c r="G312" s="19">
        <v>3495880</v>
      </c>
    </row>
    <row r="313" spans="1:7">
      <c r="A313" s="11" t="s">
        <v>104</v>
      </c>
      <c r="B313" s="11" t="s">
        <v>105</v>
      </c>
      <c r="C313" s="11" t="s">
        <v>107</v>
      </c>
      <c r="D313" s="18">
        <v>45778</v>
      </c>
      <c r="E313" s="11" t="s">
        <v>666</v>
      </c>
      <c r="F313" s="11" t="s">
        <v>231</v>
      </c>
      <c r="G313" s="19">
        <v>370000</v>
      </c>
    </row>
    <row r="314" spans="1:7">
      <c r="A314" s="11" t="s">
        <v>173</v>
      </c>
      <c r="B314" s="11" t="s">
        <v>178</v>
      </c>
      <c r="C314" s="11" t="s">
        <v>13</v>
      </c>
      <c r="D314" s="18">
        <v>45784</v>
      </c>
      <c r="E314" s="11" t="s">
        <v>667</v>
      </c>
      <c r="F314" s="11" t="s">
        <v>389</v>
      </c>
      <c r="G314" s="19">
        <v>7590000</v>
      </c>
    </row>
    <row r="315" spans="1:7">
      <c r="A315" s="11" t="s">
        <v>200</v>
      </c>
      <c r="B315" s="11" t="s">
        <v>202</v>
      </c>
      <c r="C315" s="11" t="s">
        <v>25</v>
      </c>
      <c r="D315" s="18">
        <v>45784</v>
      </c>
      <c r="E315" s="11" t="s">
        <v>668</v>
      </c>
      <c r="F315" s="11" t="s">
        <v>669</v>
      </c>
      <c r="G315" s="19">
        <v>1150000</v>
      </c>
    </row>
    <row r="316" spans="1:7">
      <c r="A316" s="11" t="s">
        <v>168</v>
      </c>
      <c r="B316" s="11" t="s">
        <v>170</v>
      </c>
      <c r="C316" s="11" t="s">
        <v>25</v>
      </c>
      <c r="D316" s="18">
        <v>45784</v>
      </c>
      <c r="E316" s="11" t="s">
        <v>668</v>
      </c>
      <c r="F316" s="11" t="s">
        <v>669</v>
      </c>
      <c r="G316" s="19">
        <v>280000</v>
      </c>
    </row>
    <row r="317" spans="1:7">
      <c r="A317" s="11" t="s">
        <v>22</v>
      </c>
      <c r="B317" s="11" t="s">
        <v>121</v>
      </c>
      <c r="C317" s="11" t="s">
        <v>122</v>
      </c>
      <c r="D317" s="18">
        <v>45784</v>
      </c>
      <c r="E317" s="11" t="s">
        <v>670</v>
      </c>
      <c r="F317" s="11" t="s">
        <v>671</v>
      </c>
      <c r="G317" s="19">
        <v>2520000</v>
      </c>
    </row>
    <row r="318" spans="1:7">
      <c r="A318" s="11" t="s">
        <v>144</v>
      </c>
      <c r="B318" s="11" t="s">
        <v>148</v>
      </c>
      <c r="C318" s="11" t="s">
        <v>25</v>
      </c>
      <c r="D318" s="18">
        <v>45784</v>
      </c>
      <c r="E318" s="11" t="s">
        <v>672</v>
      </c>
      <c r="F318" s="11" t="s">
        <v>673</v>
      </c>
      <c r="G318" s="19">
        <v>630000</v>
      </c>
    </row>
    <row r="319" spans="1:7">
      <c r="A319" s="11" t="s">
        <v>28</v>
      </c>
      <c r="B319" s="11" t="s">
        <v>127</v>
      </c>
      <c r="C319" s="11" t="s">
        <v>32</v>
      </c>
      <c r="D319" s="18">
        <v>45784</v>
      </c>
      <c r="E319" s="11" t="s">
        <v>674</v>
      </c>
      <c r="F319" s="11" t="s">
        <v>407</v>
      </c>
      <c r="G319" s="19">
        <v>569950</v>
      </c>
    </row>
    <row r="320" spans="1:7">
      <c r="A320" s="11" t="s">
        <v>28</v>
      </c>
      <c r="B320" s="11" t="s">
        <v>125</v>
      </c>
      <c r="C320" s="11" t="s">
        <v>32</v>
      </c>
      <c r="D320" s="18">
        <v>45784</v>
      </c>
      <c r="E320" s="11" t="s">
        <v>675</v>
      </c>
      <c r="F320" s="11" t="s">
        <v>407</v>
      </c>
      <c r="G320" s="19">
        <v>6297990</v>
      </c>
    </row>
    <row r="321" spans="1:7">
      <c r="A321" s="11" t="s">
        <v>28</v>
      </c>
      <c r="B321" s="11" t="s">
        <v>29</v>
      </c>
      <c r="C321" s="11" t="s">
        <v>15</v>
      </c>
      <c r="D321" s="18">
        <v>45784</v>
      </c>
      <c r="E321" s="11" t="s">
        <v>676</v>
      </c>
      <c r="F321" s="11" t="s">
        <v>405</v>
      </c>
      <c r="G321" s="19">
        <v>784800</v>
      </c>
    </row>
    <row r="322" spans="1:7">
      <c r="A322" s="11" t="s">
        <v>104</v>
      </c>
      <c r="B322" s="11" t="s">
        <v>108</v>
      </c>
      <c r="C322" s="11" t="s">
        <v>15</v>
      </c>
      <c r="D322" s="18">
        <v>45784</v>
      </c>
      <c r="E322" s="11" t="s">
        <v>677</v>
      </c>
      <c r="F322" s="11" t="s">
        <v>409</v>
      </c>
      <c r="G322" s="19">
        <v>66000</v>
      </c>
    </row>
    <row r="323" spans="1:7">
      <c r="A323" s="11" t="s">
        <v>28</v>
      </c>
      <c r="B323" s="11" t="s">
        <v>125</v>
      </c>
      <c r="C323" s="11" t="s">
        <v>32</v>
      </c>
      <c r="D323" s="18">
        <v>45784</v>
      </c>
      <c r="E323" s="11" t="s">
        <v>678</v>
      </c>
      <c r="F323" s="11" t="s">
        <v>411</v>
      </c>
      <c r="G323" s="19">
        <v>20001170</v>
      </c>
    </row>
    <row r="324" spans="1:7">
      <c r="A324" s="11" t="s">
        <v>28</v>
      </c>
      <c r="B324" s="11" t="s">
        <v>125</v>
      </c>
      <c r="C324" s="11" t="s">
        <v>32</v>
      </c>
      <c r="D324" s="18">
        <v>45784</v>
      </c>
      <c r="E324" s="11" t="s">
        <v>679</v>
      </c>
      <c r="F324" s="11" t="s">
        <v>413</v>
      </c>
      <c r="G324" s="19">
        <v>16211900</v>
      </c>
    </row>
    <row r="325" spans="1:7">
      <c r="A325" s="11" t="s">
        <v>28</v>
      </c>
      <c r="B325" s="11" t="s">
        <v>126</v>
      </c>
      <c r="C325" s="11" t="s">
        <v>32</v>
      </c>
      <c r="D325" s="18">
        <v>45784</v>
      </c>
      <c r="E325" s="11" t="s">
        <v>680</v>
      </c>
      <c r="F325" s="11" t="s">
        <v>415</v>
      </c>
      <c r="G325" s="19">
        <v>5189190</v>
      </c>
    </row>
    <row r="326" spans="1:7">
      <c r="A326" s="11" t="s">
        <v>28</v>
      </c>
      <c r="B326" s="11" t="s">
        <v>125</v>
      </c>
      <c r="C326" s="11" t="s">
        <v>32</v>
      </c>
      <c r="D326" s="18">
        <v>45784</v>
      </c>
      <c r="E326" s="11" t="s">
        <v>681</v>
      </c>
      <c r="F326" s="11" t="s">
        <v>417</v>
      </c>
      <c r="G326" s="19">
        <v>3648000</v>
      </c>
    </row>
    <row r="327" spans="1:7">
      <c r="A327" s="11" t="s">
        <v>28</v>
      </c>
      <c r="B327" s="11" t="s">
        <v>126</v>
      </c>
      <c r="C327" s="11" t="s">
        <v>32</v>
      </c>
      <c r="D327" s="18">
        <v>45784</v>
      </c>
      <c r="E327" s="11" t="s">
        <v>681</v>
      </c>
      <c r="F327" s="11" t="s">
        <v>417</v>
      </c>
      <c r="G327" s="19">
        <v>1529500</v>
      </c>
    </row>
    <row r="328" spans="1:7">
      <c r="A328" s="11" t="s">
        <v>28</v>
      </c>
      <c r="B328" s="11" t="s">
        <v>127</v>
      </c>
      <c r="C328" s="11" t="s">
        <v>32</v>
      </c>
      <c r="D328" s="18">
        <v>45784</v>
      </c>
      <c r="E328" s="11" t="s">
        <v>682</v>
      </c>
      <c r="F328" s="11" t="s">
        <v>683</v>
      </c>
      <c r="G328" s="19">
        <v>4372800</v>
      </c>
    </row>
    <row r="329" spans="1:7">
      <c r="A329" s="11" t="s">
        <v>28</v>
      </c>
      <c r="B329" s="11" t="s">
        <v>125</v>
      </c>
      <c r="C329" s="11" t="s">
        <v>32</v>
      </c>
      <c r="D329" s="18">
        <v>45784</v>
      </c>
      <c r="E329" s="11" t="s">
        <v>684</v>
      </c>
      <c r="F329" s="11" t="s">
        <v>685</v>
      </c>
      <c r="G329" s="19">
        <v>25163570</v>
      </c>
    </row>
    <row r="330" spans="1:7">
      <c r="A330" s="11" t="s">
        <v>28</v>
      </c>
      <c r="B330" s="11" t="s">
        <v>125</v>
      </c>
      <c r="C330" s="11" t="s">
        <v>32</v>
      </c>
      <c r="D330" s="18">
        <v>45784</v>
      </c>
      <c r="E330" s="11" t="s">
        <v>686</v>
      </c>
      <c r="F330" s="11" t="s">
        <v>687</v>
      </c>
      <c r="G330" s="19">
        <v>93500</v>
      </c>
    </row>
    <row r="331" spans="1:7">
      <c r="A331" s="11" t="s">
        <v>38</v>
      </c>
      <c r="B331" s="11" t="s">
        <v>137</v>
      </c>
      <c r="C331" s="11" t="s">
        <v>15</v>
      </c>
      <c r="D331" s="18">
        <v>45784</v>
      </c>
      <c r="E331" s="11" t="s">
        <v>688</v>
      </c>
      <c r="F331" s="11" t="s">
        <v>326</v>
      </c>
      <c r="G331" s="19">
        <v>753600</v>
      </c>
    </row>
    <row r="332" spans="1:7">
      <c r="A332" s="11" t="s">
        <v>45</v>
      </c>
      <c r="B332" s="11" t="s">
        <v>143</v>
      </c>
      <c r="C332" s="11" t="s">
        <v>15</v>
      </c>
      <c r="D332" s="18">
        <v>45785</v>
      </c>
      <c r="E332" s="11" t="s">
        <v>689</v>
      </c>
      <c r="F332" s="11" t="s">
        <v>426</v>
      </c>
      <c r="G332" s="19">
        <v>10026720</v>
      </c>
    </row>
    <row r="333" spans="1:7">
      <c r="A333" s="11" t="s">
        <v>43</v>
      </c>
      <c r="B333" s="11" t="s">
        <v>140</v>
      </c>
      <c r="C333" s="11" t="s">
        <v>34</v>
      </c>
      <c r="D333" s="18">
        <v>45785</v>
      </c>
      <c r="E333" s="11" t="s">
        <v>690</v>
      </c>
      <c r="F333" s="11" t="s">
        <v>691</v>
      </c>
      <c r="G333" s="19">
        <v>3000000</v>
      </c>
    </row>
    <row r="334" spans="1:7">
      <c r="A334" s="11" t="s">
        <v>28</v>
      </c>
      <c r="B334" s="11" t="s">
        <v>123</v>
      </c>
      <c r="C334" s="11" t="s">
        <v>15</v>
      </c>
      <c r="D334" s="18">
        <v>45785</v>
      </c>
      <c r="E334" s="11" t="s">
        <v>692</v>
      </c>
      <c r="F334" s="11" t="s">
        <v>428</v>
      </c>
      <c r="G334" s="19">
        <v>10974370</v>
      </c>
    </row>
    <row r="335" spans="1:7">
      <c r="A335" s="11" t="s">
        <v>200</v>
      </c>
      <c r="B335" s="11" t="s">
        <v>201</v>
      </c>
      <c r="C335" s="11" t="s">
        <v>151</v>
      </c>
      <c r="D335" s="18">
        <v>45785</v>
      </c>
      <c r="E335" s="11" t="s">
        <v>693</v>
      </c>
      <c r="F335" s="11" t="s">
        <v>502</v>
      </c>
      <c r="G335" s="19">
        <v>350320</v>
      </c>
    </row>
    <row r="336" spans="1:7">
      <c r="A336" s="11" t="s">
        <v>72</v>
      </c>
      <c r="B336" s="11" t="s">
        <v>192</v>
      </c>
      <c r="C336" s="11" t="s">
        <v>120</v>
      </c>
      <c r="D336" s="18">
        <v>45785</v>
      </c>
      <c r="E336" s="11" t="s">
        <v>693</v>
      </c>
      <c r="F336" s="11" t="s">
        <v>502</v>
      </c>
      <c r="G336" s="19">
        <v>38040</v>
      </c>
    </row>
    <row r="337" spans="1:7">
      <c r="A337" s="11" t="s">
        <v>160</v>
      </c>
      <c r="B337" s="11" t="s">
        <v>161</v>
      </c>
      <c r="C337" s="11" t="s">
        <v>25</v>
      </c>
      <c r="D337" s="18">
        <v>45785</v>
      </c>
      <c r="E337" s="11" t="s">
        <v>693</v>
      </c>
      <c r="F337" s="11" t="s">
        <v>502</v>
      </c>
      <c r="G337" s="19">
        <v>80640</v>
      </c>
    </row>
    <row r="338" spans="1:7">
      <c r="A338" s="11" t="s">
        <v>54</v>
      </c>
      <c r="B338" s="11" t="s">
        <v>158</v>
      </c>
      <c r="C338" s="11" t="s">
        <v>151</v>
      </c>
      <c r="D338" s="18">
        <v>45785</v>
      </c>
      <c r="E338" s="11" t="s">
        <v>693</v>
      </c>
      <c r="F338" s="11" t="s">
        <v>502</v>
      </c>
      <c r="G338" s="19">
        <v>331200</v>
      </c>
    </row>
    <row r="339" spans="1:7">
      <c r="A339" s="11" t="s">
        <v>109</v>
      </c>
      <c r="B339" s="11" t="s">
        <v>215</v>
      </c>
      <c r="C339" s="11" t="s">
        <v>120</v>
      </c>
      <c r="D339" s="18">
        <v>45785</v>
      </c>
      <c r="E339" s="11" t="s">
        <v>693</v>
      </c>
      <c r="F339" s="11" t="s">
        <v>502</v>
      </c>
      <c r="G339" s="19">
        <v>95870</v>
      </c>
    </row>
    <row r="340" spans="1:7">
      <c r="A340" s="11" t="s">
        <v>144</v>
      </c>
      <c r="B340" s="11" t="s">
        <v>150</v>
      </c>
      <c r="C340" s="11" t="s">
        <v>151</v>
      </c>
      <c r="D340" s="18">
        <v>45785</v>
      </c>
      <c r="E340" s="11" t="s">
        <v>693</v>
      </c>
      <c r="F340" s="11" t="s">
        <v>502</v>
      </c>
      <c r="G340" s="19">
        <v>114120</v>
      </c>
    </row>
    <row r="341" spans="1:7">
      <c r="A341" s="11" t="s">
        <v>22</v>
      </c>
      <c r="B341" s="11" t="s">
        <v>23</v>
      </c>
      <c r="C341" s="11" t="s">
        <v>24</v>
      </c>
      <c r="D341" s="18">
        <v>45785</v>
      </c>
      <c r="E341" s="11" t="s">
        <v>693</v>
      </c>
      <c r="F341" s="11" t="s">
        <v>502</v>
      </c>
      <c r="G341" s="19">
        <v>1500000</v>
      </c>
    </row>
    <row r="342" spans="1:7">
      <c r="A342" s="11" t="s">
        <v>144</v>
      </c>
      <c r="B342" s="11" t="s">
        <v>147</v>
      </c>
      <c r="C342" s="11" t="s">
        <v>25</v>
      </c>
      <c r="D342" s="18">
        <v>45785</v>
      </c>
      <c r="E342" s="11" t="s">
        <v>693</v>
      </c>
      <c r="F342" s="11" t="s">
        <v>502</v>
      </c>
      <c r="G342" s="19">
        <v>38040</v>
      </c>
    </row>
    <row r="343" spans="1:7">
      <c r="A343" s="11" t="s">
        <v>22</v>
      </c>
      <c r="B343" s="11" t="s">
        <v>121</v>
      </c>
      <c r="C343" s="11" t="s">
        <v>122</v>
      </c>
      <c r="D343" s="18">
        <v>45785</v>
      </c>
      <c r="E343" s="11" t="s">
        <v>693</v>
      </c>
      <c r="F343" s="11" t="s">
        <v>502</v>
      </c>
      <c r="G343" s="19">
        <v>49420</v>
      </c>
    </row>
    <row r="344" spans="1:7">
      <c r="A344" s="11" t="s">
        <v>22</v>
      </c>
      <c r="B344" s="11" t="s">
        <v>119</v>
      </c>
      <c r="C344" s="11" t="s">
        <v>120</v>
      </c>
      <c r="D344" s="18">
        <v>45785</v>
      </c>
      <c r="E344" s="11" t="s">
        <v>693</v>
      </c>
      <c r="F344" s="11" t="s">
        <v>502</v>
      </c>
      <c r="G344" s="19">
        <v>1738110</v>
      </c>
    </row>
    <row r="345" spans="1:7">
      <c r="A345" s="11" t="s">
        <v>144</v>
      </c>
      <c r="B345" s="11" t="s">
        <v>148</v>
      </c>
      <c r="C345" s="11" t="s">
        <v>25</v>
      </c>
      <c r="D345" s="18">
        <v>45785</v>
      </c>
      <c r="E345" s="11" t="s">
        <v>694</v>
      </c>
      <c r="F345" s="11" t="s">
        <v>695</v>
      </c>
      <c r="G345" s="19">
        <v>490000</v>
      </c>
    </row>
    <row r="346" spans="1:7">
      <c r="A346" s="11" t="s">
        <v>144</v>
      </c>
      <c r="B346" s="11" t="s">
        <v>51</v>
      </c>
      <c r="C346" s="11" t="s">
        <v>25</v>
      </c>
      <c r="D346" s="18">
        <v>45785</v>
      </c>
      <c r="E346" s="11" t="s">
        <v>696</v>
      </c>
      <c r="F346" s="11" t="s">
        <v>697</v>
      </c>
      <c r="G346" s="19">
        <v>90000</v>
      </c>
    </row>
    <row r="347" spans="1:7">
      <c r="A347" s="11" t="s">
        <v>173</v>
      </c>
      <c r="B347" s="11" t="s">
        <v>180</v>
      </c>
      <c r="C347" s="11" t="s">
        <v>13</v>
      </c>
      <c r="D347" s="18">
        <v>45786</v>
      </c>
      <c r="E347" s="11" t="s">
        <v>698</v>
      </c>
      <c r="F347" s="11" t="s">
        <v>283</v>
      </c>
      <c r="G347" s="19">
        <v>259350</v>
      </c>
    </row>
    <row r="348" spans="1:7">
      <c r="A348" s="11" t="s">
        <v>17</v>
      </c>
      <c r="B348" s="11" t="s">
        <v>118</v>
      </c>
      <c r="C348" s="11" t="s">
        <v>14</v>
      </c>
      <c r="D348" s="18">
        <v>45786</v>
      </c>
      <c r="E348" s="11" t="s">
        <v>699</v>
      </c>
      <c r="F348" s="11" t="s">
        <v>226</v>
      </c>
      <c r="G348" s="19">
        <v>52000</v>
      </c>
    </row>
    <row r="349" spans="1:7">
      <c r="A349" s="11" t="s">
        <v>52</v>
      </c>
      <c r="B349" s="11" t="s">
        <v>53</v>
      </c>
      <c r="C349" s="11" t="s">
        <v>13</v>
      </c>
      <c r="D349" s="18">
        <v>45786</v>
      </c>
      <c r="E349" s="11" t="s">
        <v>700</v>
      </c>
      <c r="F349" s="11" t="s">
        <v>272</v>
      </c>
      <c r="G349" s="19">
        <v>90000</v>
      </c>
    </row>
    <row r="350" spans="1:7">
      <c r="A350" s="11" t="s">
        <v>87</v>
      </c>
      <c r="B350" s="11" t="s">
        <v>95</v>
      </c>
      <c r="C350" s="11" t="s">
        <v>15</v>
      </c>
      <c r="D350" s="18">
        <v>45786</v>
      </c>
      <c r="E350" s="11" t="s">
        <v>701</v>
      </c>
      <c r="F350" s="11" t="s">
        <v>558</v>
      </c>
      <c r="G350" s="19">
        <v>233140</v>
      </c>
    </row>
    <row r="351" spans="1:7">
      <c r="A351" s="11" t="s">
        <v>55</v>
      </c>
      <c r="B351" s="11" t="s">
        <v>165</v>
      </c>
      <c r="C351" s="11" t="s">
        <v>13</v>
      </c>
      <c r="D351" s="18">
        <v>45786</v>
      </c>
      <c r="E351" s="11" t="s">
        <v>702</v>
      </c>
      <c r="F351" s="11" t="s">
        <v>586</v>
      </c>
      <c r="G351" s="19">
        <v>283700</v>
      </c>
    </row>
    <row r="352" spans="1:7">
      <c r="A352" s="11" t="s">
        <v>173</v>
      </c>
      <c r="B352" s="11" t="s">
        <v>180</v>
      </c>
      <c r="C352" s="11" t="s">
        <v>13</v>
      </c>
      <c r="D352" s="18">
        <v>45786</v>
      </c>
      <c r="E352" s="11" t="s">
        <v>703</v>
      </c>
      <c r="F352" s="11" t="s">
        <v>283</v>
      </c>
      <c r="G352" s="19">
        <v>81480</v>
      </c>
    </row>
    <row r="353" spans="1:7">
      <c r="A353" s="11" t="s">
        <v>173</v>
      </c>
      <c r="B353" s="11" t="s">
        <v>180</v>
      </c>
      <c r="C353" s="11" t="s">
        <v>13</v>
      </c>
      <c r="D353" s="18">
        <v>45786</v>
      </c>
      <c r="E353" s="11" t="s">
        <v>704</v>
      </c>
      <c r="F353" s="11" t="s">
        <v>283</v>
      </c>
      <c r="G353" s="19">
        <v>55380</v>
      </c>
    </row>
    <row r="354" spans="1:7">
      <c r="A354" s="11" t="s">
        <v>104</v>
      </c>
      <c r="B354" s="11" t="s">
        <v>108</v>
      </c>
      <c r="C354" s="11" t="s">
        <v>12</v>
      </c>
      <c r="D354" s="18">
        <v>45786</v>
      </c>
      <c r="E354" s="11" t="s">
        <v>705</v>
      </c>
      <c r="F354" s="11" t="s">
        <v>460</v>
      </c>
      <c r="G354" s="19">
        <v>36000</v>
      </c>
    </row>
    <row r="355" spans="1:7">
      <c r="A355" s="11" t="s">
        <v>52</v>
      </c>
      <c r="B355" s="11" t="s">
        <v>53</v>
      </c>
      <c r="C355" s="11" t="s">
        <v>13</v>
      </c>
      <c r="D355" s="18">
        <v>45786</v>
      </c>
      <c r="E355" s="11" t="s">
        <v>706</v>
      </c>
      <c r="F355" s="11" t="s">
        <v>272</v>
      </c>
      <c r="G355" s="19">
        <v>58400</v>
      </c>
    </row>
    <row r="356" spans="1:7">
      <c r="A356" s="11" t="s">
        <v>52</v>
      </c>
      <c r="B356" s="11" t="s">
        <v>53</v>
      </c>
      <c r="C356" s="11" t="s">
        <v>13</v>
      </c>
      <c r="D356" s="18">
        <v>45786</v>
      </c>
      <c r="E356" s="11" t="s">
        <v>707</v>
      </c>
      <c r="F356" s="11" t="s">
        <v>708</v>
      </c>
      <c r="G356" s="19">
        <v>94860</v>
      </c>
    </row>
    <row r="357" spans="1:7">
      <c r="A357" s="11" t="s">
        <v>52</v>
      </c>
      <c r="B357" s="11" t="s">
        <v>53</v>
      </c>
      <c r="C357" s="11" t="s">
        <v>13</v>
      </c>
      <c r="D357" s="18">
        <v>45786</v>
      </c>
      <c r="E357" s="11" t="s">
        <v>709</v>
      </c>
      <c r="F357" s="11" t="s">
        <v>272</v>
      </c>
      <c r="G357" s="19">
        <v>51000</v>
      </c>
    </row>
    <row r="358" spans="1:7">
      <c r="A358" s="11" t="s">
        <v>43</v>
      </c>
      <c r="B358" s="11" t="s">
        <v>139</v>
      </c>
      <c r="C358" s="11" t="s">
        <v>15</v>
      </c>
      <c r="D358" s="18">
        <v>45786</v>
      </c>
      <c r="E358" s="11" t="s">
        <v>710</v>
      </c>
      <c r="F358" s="11" t="s">
        <v>283</v>
      </c>
      <c r="G358" s="19">
        <v>119450</v>
      </c>
    </row>
    <row r="359" spans="1:7">
      <c r="A359" s="11" t="s">
        <v>173</v>
      </c>
      <c r="B359" s="11" t="s">
        <v>180</v>
      </c>
      <c r="C359" s="11" t="s">
        <v>13</v>
      </c>
      <c r="D359" s="18">
        <v>45786</v>
      </c>
      <c r="E359" s="11" t="s">
        <v>711</v>
      </c>
      <c r="F359" s="11" t="s">
        <v>712</v>
      </c>
      <c r="G359" s="19">
        <v>967360</v>
      </c>
    </row>
    <row r="360" spans="1:7">
      <c r="A360" s="11" t="s">
        <v>144</v>
      </c>
      <c r="B360" s="11" t="s">
        <v>153</v>
      </c>
      <c r="C360" s="11" t="s">
        <v>13</v>
      </c>
      <c r="D360" s="18">
        <v>45786</v>
      </c>
      <c r="E360" s="11" t="s">
        <v>713</v>
      </c>
      <c r="F360" s="11" t="s">
        <v>484</v>
      </c>
      <c r="G360" s="19">
        <v>30600</v>
      </c>
    </row>
    <row r="361" spans="1:7">
      <c r="A361" s="11" t="s">
        <v>55</v>
      </c>
      <c r="B361" s="11" t="s">
        <v>165</v>
      </c>
      <c r="C361" s="11" t="s">
        <v>13</v>
      </c>
      <c r="D361" s="18">
        <v>45786</v>
      </c>
      <c r="E361" s="11" t="s">
        <v>714</v>
      </c>
      <c r="F361" s="11" t="s">
        <v>283</v>
      </c>
      <c r="G361" s="19">
        <v>79000</v>
      </c>
    </row>
    <row r="362" spans="1:7">
      <c r="A362" s="11" t="s">
        <v>55</v>
      </c>
      <c r="B362" s="11" t="s">
        <v>165</v>
      </c>
      <c r="C362" s="11" t="s">
        <v>13</v>
      </c>
      <c r="D362" s="18">
        <v>45786</v>
      </c>
      <c r="E362" s="11" t="s">
        <v>715</v>
      </c>
      <c r="F362" s="11" t="s">
        <v>716</v>
      </c>
      <c r="G362" s="19">
        <v>30000</v>
      </c>
    </row>
    <row r="363" spans="1:7">
      <c r="A363" s="11" t="s">
        <v>17</v>
      </c>
      <c r="B363" s="11" t="s">
        <v>118</v>
      </c>
      <c r="C363" s="11" t="s">
        <v>14</v>
      </c>
      <c r="D363" s="18">
        <v>45786</v>
      </c>
      <c r="E363" s="11" t="s">
        <v>717</v>
      </c>
      <c r="F363" s="11" t="s">
        <v>718</v>
      </c>
      <c r="G363" s="19">
        <v>54300</v>
      </c>
    </row>
    <row r="364" spans="1:7">
      <c r="A364" s="11" t="s">
        <v>72</v>
      </c>
      <c r="B364" s="11" t="s">
        <v>192</v>
      </c>
      <c r="C364" s="11" t="s">
        <v>34</v>
      </c>
      <c r="D364" s="18">
        <v>45786</v>
      </c>
      <c r="E364" s="11" t="s">
        <v>719</v>
      </c>
      <c r="F364" s="11" t="s">
        <v>586</v>
      </c>
      <c r="G364" s="19">
        <v>22850</v>
      </c>
    </row>
    <row r="365" spans="1:7">
      <c r="A365" s="11" t="s">
        <v>65</v>
      </c>
      <c r="B365" s="11" t="s">
        <v>67</v>
      </c>
      <c r="C365" s="11" t="s">
        <v>13</v>
      </c>
      <c r="D365" s="18">
        <v>45786</v>
      </c>
      <c r="E365" s="11" t="s">
        <v>720</v>
      </c>
      <c r="F365" s="11" t="s">
        <v>721</v>
      </c>
      <c r="G365" s="19">
        <v>409200</v>
      </c>
    </row>
    <row r="366" spans="1:7">
      <c r="A366" s="11" t="s">
        <v>65</v>
      </c>
      <c r="B366" s="11" t="s">
        <v>67</v>
      </c>
      <c r="C366" s="11" t="s">
        <v>13</v>
      </c>
      <c r="D366" s="18">
        <v>45786</v>
      </c>
      <c r="E366" s="11" t="s">
        <v>722</v>
      </c>
      <c r="F366" s="11" t="s">
        <v>558</v>
      </c>
      <c r="G366" s="19">
        <v>19000</v>
      </c>
    </row>
    <row r="367" spans="1:7">
      <c r="A367" s="11" t="s">
        <v>52</v>
      </c>
      <c r="B367" s="11" t="s">
        <v>53</v>
      </c>
      <c r="C367" s="11" t="s">
        <v>13</v>
      </c>
      <c r="D367" s="18">
        <v>45786</v>
      </c>
      <c r="E367" s="11" t="s">
        <v>723</v>
      </c>
      <c r="F367" s="11" t="s">
        <v>558</v>
      </c>
      <c r="G367" s="19">
        <v>260060</v>
      </c>
    </row>
    <row r="368" spans="1:7">
      <c r="A368" s="11" t="s">
        <v>52</v>
      </c>
      <c r="B368" s="11" t="s">
        <v>53</v>
      </c>
      <c r="C368" s="11" t="s">
        <v>13</v>
      </c>
      <c r="D368" s="18">
        <v>45786</v>
      </c>
      <c r="E368" s="11" t="s">
        <v>724</v>
      </c>
      <c r="F368" s="11" t="s">
        <v>725</v>
      </c>
      <c r="G368" s="19">
        <v>77850</v>
      </c>
    </row>
    <row r="369" spans="1:7">
      <c r="A369" s="11" t="s">
        <v>144</v>
      </c>
      <c r="B369" s="11" t="s">
        <v>146</v>
      </c>
      <c r="C369" s="11" t="s">
        <v>13</v>
      </c>
      <c r="D369" s="18">
        <v>45786</v>
      </c>
      <c r="E369" s="11" t="s">
        <v>726</v>
      </c>
      <c r="F369" s="11" t="s">
        <v>283</v>
      </c>
      <c r="G369" s="19">
        <v>32670</v>
      </c>
    </row>
    <row r="370" spans="1:7">
      <c r="A370" s="11" t="s">
        <v>101</v>
      </c>
      <c r="B370" s="11" t="s">
        <v>211</v>
      </c>
      <c r="C370" s="11" t="s">
        <v>15</v>
      </c>
      <c r="D370" s="18">
        <v>45786</v>
      </c>
      <c r="E370" s="11" t="s">
        <v>727</v>
      </c>
      <c r="F370" s="11" t="s">
        <v>728</v>
      </c>
      <c r="G370" s="19">
        <v>366000</v>
      </c>
    </row>
    <row r="371" spans="1:7">
      <c r="A371" s="11" t="s">
        <v>52</v>
      </c>
      <c r="B371" s="11" t="s">
        <v>53</v>
      </c>
      <c r="C371" s="11" t="s">
        <v>13</v>
      </c>
      <c r="D371" s="18">
        <v>45786</v>
      </c>
      <c r="E371" s="11" t="s">
        <v>729</v>
      </c>
      <c r="F371" s="11" t="s">
        <v>272</v>
      </c>
      <c r="G371" s="19">
        <v>25500</v>
      </c>
    </row>
    <row r="372" spans="1:7">
      <c r="A372" s="11" t="s">
        <v>52</v>
      </c>
      <c r="B372" s="11" t="s">
        <v>53</v>
      </c>
      <c r="C372" s="11" t="s">
        <v>13</v>
      </c>
      <c r="D372" s="18">
        <v>45786</v>
      </c>
      <c r="E372" s="11" t="s">
        <v>730</v>
      </c>
      <c r="F372" s="11" t="s">
        <v>272</v>
      </c>
      <c r="G372" s="19">
        <v>50600</v>
      </c>
    </row>
    <row r="373" spans="1:7">
      <c r="A373" s="11" t="s">
        <v>55</v>
      </c>
      <c r="B373" s="11" t="s">
        <v>165</v>
      </c>
      <c r="C373" s="11" t="s">
        <v>13</v>
      </c>
      <c r="D373" s="18">
        <v>45786</v>
      </c>
      <c r="E373" s="11" t="s">
        <v>731</v>
      </c>
      <c r="F373" s="11" t="s">
        <v>283</v>
      </c>
      <c r="G373" s="19">
        <v>173180</v>
      </c>
    </row>
    <row r="374" spans="1:7">
      <c r="A374" s="11" t="s">
        <v>17</v>
      </c>
      <c r="B374" s="11" t="s">
        <v>118</v>
      </c>
      <c r="C374" s="11" t="s">
        <v>14</v>
      </c>
      <c r="D374" s="18">
        <v>45786</v>
      </c>
      <c r="E374" s="11" t="s">
        <v>732</v>
      </c>
      <c r="F374" s="11" t="s">
        <v>733</v>
      </c>
      <c r="G374" s="19">
        <v>180000</v>
      </c>
    </row>
    <row r="375" spans="1:7">
      <c r="A375" s="11" t="s">
        <v>17</v>
      </c>
      <c r="B375" s="11" t="s">
        <v>118</v>
      </c>
      <c r="C375" s="11" t="s">
        <v>14</v>
      </c>
      <c r="D375" s="18">
        <v>45786</v>
      </c>
      <c r="E375" s="11" t="s">
        <v>734</v>
      </c>
      <c r="F375" s="11" t="s">
        <v>735</v>
      </c>
      <c r="G375" s="19">
        <v>99500</v>
      </c>
    </row>
    <row r="376" spans="1:7">
      <c r="A376" s="11" t="s">
        <v>11</v>
      </c>
      <c r="B376" s="11" t="s">
        <v>116</v>
      </c>
      <c r="C376" s="11" t="s">
        <v>14</v>
      </c>
      <c r="D376" s="18">
        <v>45786</v>
      </c>
      <c r="E376" s="11" t="s">
        <v>736</v>
      </c>
      <c r="F376" s="11" t="s">
        <v>451</v>
      </c>
      <c r="G376" s="19">
        <v>82000</v>
      </c>
    </row>
    <row r="377" spans="1:7">
      <c r="A377" s="11" t="s">
        <v>11</v>
      </c>
      <c r="B377" s="11" t="s">
        <v>115</v>
      </c>
      <c r="C377" s="11" t="s">
        <v>15</v>
      </c>
      <c r="D377" s="18">
        <v>45786</v>
      </c>
      <c r="E377" s="11" t="s">
        <v>737</v>
      </c>
      <c r="F377" s="11" t="s">
        <v>738</v>
      </c>
      <c r="G377" s="19">
        <v>34500</v>
      </c>
    </row>
    <row r="378" spans="1:7">
      <c r="A378" s="11" t="s">
        <v>28</v>
      </c>
      <c r="B378" s="11" t="s">
        <v>29</v>
      </c>
      <c r="C378" s="11" t="s">
        <v>31</v>
      </c>
      <c r="D378" s="18">
        <v>45786</v>
      </c>
      <c r="E378" s="11" t="s">
        <v>739</v>
      </c>
      <c r="F378" s="11" t="s">
        <v>283</v>
      </c>
      <c r="G378" s="19">
        <v>47800</v>
      </c>
    </row>
    <row r="379" spans="1:7">
      <c r="A379" s="11" t="s">
        <v>28</v>
      </c>
      <c r="B379" s="11" t="s">
        <v>29</v>
      </c>
      <c r="C379" s="11" t="s">
        <v>15</v>
      </c>
      <c r="D379" s="18">
        <v>45786</v>
      </c>
      <c r="E379" s="11" t="s">
        <v>739</v>
      </c>
      <c r="F379" s="11" t="s">
        <v>283</v>
      </c>
      <c r="G379" s="19">
        <v>2229000</v>
      </c>
    </row>
    <row r="380" spans="1:7">
      <c r="A380" s="11" t="s">
        <v>173</v>
      </c>
      <c r="B380" s="11" t="s">
        <v>180</v>
      </c>
      <c r="C380" s="11" t="s">
        <v>13</v>
      </c>
      <c r="D380" s="18">
        <v>45786</v>
      </c>
      <c r="E380" s="11" t="s">
        <v>740</v>
      </c>
      <c r="F380" s="11" t="s">
        <v>283</v>
      </c>
      <c r="G380" s="19">
        <v>353400</v>
      </c>
    </row>
    <row r="381" spans="1:7">
      <c r="A381" s="11" t="s">
        <v>65</v>
      </c>
      <c r="B381" s="11" t="s">
        <v>67</v>
      </c>
      <c r="C381" s="11" t="s">
        <v>13</v>
      </c>
      <c r="D381" s="18">
        <v>45786</v>
      </c>
      <c r="E381" s="11" t="s">
        <v>741</v>
      </c>
      <c r="F381" s="11" t="s">
        <v>558</v>
      </c>
      <c r="G381" s="19">
        <v>25180</v>
      </c>
    </row>
    <row r="382" spans="1:7">
      <c r="A382" s="11" t="s">
        <v>101</v>
      </c>
      <c r="B382" s="11" t="s">
        <v>211</v>
      </c>
      <c r="C382" s="11" t="s">
        <v>15</v>
      </c>
      <c r="D382" s="18">
        <v>45786</v>
      </c>
      <c r="E382" s="11" t="s">
        <v>742</v>
      </c>
      <c r="F382" s="11" t="s">
        <v>558</v>
      </c>
      <c r="G382" s="19">
        <v>48750</v>
      </c>
    </row>
    <row r="383" spans="1:7">
      <c r="A383" s="11" t="s">
        <v>72</v>
      </c>
      <c r="B383" s="11" t="s">
        <v>192</v>
      </c>
      <c r="C383" s="11" t="s">
        <v>34</v>
      </c>
      <c r="D383" s="18">
        <v>45786</v>
      </c>
      <c r="E383" s="11" t="s">
        <v>743</v>
      </c>
      <c r="F383" s="11" t="s">
        <v>283</v>
      </c>
      <c r="G383" s="19">
        <v>96280</v>
      </c>
    </row>
    <row r="384" spans="1:7">
      <c r="A384" s="11" t="s">
        <v>160</v>
      </c>
      <c r="B384" s="11" t="s">
        <v>162</v>
      </c>
      <c r="C384" s="11" t="s">
        <v>13</v>
      </c>
      <c r="D384" s="18">
        <v>45786</v>
      </c>
      <c r="E384" s="11" t="s">
        <v>744</v>
      </c>
      <c r="F384" s="11" t="s">
        <v>265</v>
      </c>
      <c r="G384" s="19">
        <v>2496000</v>
      </c>
    </row>
    <row r="385" spans="1:7">
      <c r="A385" s="11" t="s">
        <v>104</v>
      </c>
      <c r="B385" s="11" t="s">
        <v>214</v>
      </c>
      <c r="C385" s="11" t="s">
        <v>12</v>
      </c>
      <c r="D385" s="18">
        <v>45786</v>
      </c>
      <c r="E385" s="11" t="s">
        <v>745</v>
      </c>
      <c r="F385" s="11" t="s">
        <v>263</v>
      </c>
      <c r="G385" s="19">
        <v>9000</v>
      </c>
    </row>
    <row r="386" spans="1:7">
      <c r="A386" s="11" t="s">
        <v>104</v>
      </c>
      <c r="B386" s="11" t="s">
        <v>108</v>
      </c>
      <c r="C386" s="11" t="s">
        <v>12</v>
      </c>
      <c r="D386" s="18">
        <v>45786</v>
      </c>
      <c r="E386" s="11" t="s">
        <v>746</v>
      </c>
      <c r="F386" s="11" t="s">
        <v>285</v>
      </c>
      <c r="G386" s="19">
        <v>9000</v>
      </c>
    </row>
    <row r="387" spans="1:7">
      <c r="A387" s="11" t="s">
        <v>144</v>
      </c>
      <c r="B387" s="11" t="s">
        <v>146</v>
      </c>
      <c r="C387" s="11" t="s">
        <v>13</v>
      </c>
      <c r="D387" s="18">
        <v>45786</v>
      </c>
      <c r="E387" s="11" t="s">
        <v>747</v>
      </c>
      <c r="F387" s="11" t="s">
        <v>558</v>
      </c>
      <c r="G387" s="19">
        <v>413000</v>
      </c>
    </row>
    <row r="388" spans="1:7">
      <c r="A388" s="11" t="s">
        <v>17</v>
      </c>
      <c r="B388" s="11" t="s">
        <v>118</v>
      </c>
      <c r="C388" s="11" t="s">
        <v>14</v>
      </c>
      <c r="D388" s="18">
        <v>45786</v>
      </c>
      <c r="E388" s="11" t="s">
        <v>748</v>
      </c>
      <c r="F388" s="11" t="s">
        <v>749</v>
      </c>
      <c r="G388" s="19">
        <v>140000</v>
      </c>
    </row>
    <row r="389" spans="1:7">
      <c r="A389" s="11" t="s">
        <v>173</v>
      </c>
      <c r="B389" s="11" t="s">
        <v>180</v>
      </c>
      <c r="C389" s="11" t="s">
        <v>13</v>
      </c>
      <c r="D389" s="18">
        <v>45786</v>
      </c>
      <c r="E389" s="11" t="s">
        <v>750</v>
      </c>
      <c r="F389" s="11" t="s">
        <v>751</v>
      </c>
      <c r="G389" s="19">
        <v>1525500</v>
      </c>
    </row>
    <row r="390" spans="1:7">
      <c r="A390" s="11" t="s">
        <v>173</v>
      </c>
      <c r="B390" s="11" t="s">
        <v>180</v>
      </c>
      <c r="C390" s="11" t="s">
        <v>13</v>
      </c>
      <c r="D390" s="18">
        <v>45786</v>
      </c>
      <c r="E390" s="11" t="s">
        <v>752</v>
      </c>
      <c r="F390" s="11" t="s">
        <v>295</v>
      </c>
      <c r="G390" s="19">
        <v>531250</v>
      </c>
    </row>
    <row r="391" spans="1:7">
      <c r="A391" s="11" t="s">
        <v>75</v>
      </c>
      <c r="B391" s="11" t="s">
        <v>76</v>
      </c>
      <c r="C391" s="11" t="s">
        <v>13</v>
      </c>
      <c r="D391" s="18">
        <v>45786</v>
      </c>
      <c r="E391" s="11" t="s">
        <v>753</v>
      </c>
      <c r="F391" s="11" t="s">
        <v>278</v>
      </c>
      <c r="G391" s="19">
        <v>118000</v>
      </c>
    </row>
    <row r="392" spans="1:7">
      <c r="A392" s="11" t="s">
        <v>144</v>
      </c>
      <c r="B392" s="11" t="s">
        <v>49</v>
      </c>
      <c r="C392" s="11" t="s">
        <v>50</v>
      </c>
      <c r="D392" s="18">
        <v>45786</v>
      </c>
      <c r="E392" s="11" t="s">
        <v>754</v>
      </c>
      <c r="F392" s="11" t="s">
        <v>295</v>
      </c>
      <c r="G392" s="19">
        <v>25000</v>
      </c>
    </row>
    <row r="393" spans="1:7">
      <c r="A393" s="11" t="s">
        <v>173</v>
      </c>
      <c r="B393" s="11" t="s">
        <v>184</v>
      </c>
      <c r="C393" s="11" t="s">
        <v>15</v>
      </c>
      <c r="D393" s="18">
        <v>45786</v>
      </c>
      <c r="E393" s="11" t="s">
        <v>755</v>
      </c>
      <c r="F393" s="11" t="s">
        <v>283</v>
      </c>
      <c r="G393" s="19">
        <v>49860</v>
      </c>
    </row>
    <row r="394" spans="1:7">
      <c r="A394" s="11" t="s">
        <v>173</v>
      </c>
      <c r="B394" s="11" t="s">
        <v>180</v>
      </c>
      <c r="C394" s="11" t="s">
        <v>13</v>
      </c>
      <c r="D394" s="18">
        <v>45786</v>
      </c>
      <c r="E394" s="11" t="s">
        <v>756</v>
      </c>
      <c r="F394" s="11" t="s">
        <v>283</v>
      </c>
      <c r="G394" s="19">
        <v>427560</v>
      </c>
    </row>
    <row r="395" spans="1:7">
      <c r="A395" s="11" t="s">
        <v>144</v>
      </c>
      <c r="B395" s="11" t="s">
        <v>146</v>
      </c>
      <c r="C395" s="11" t="s">
        <v>13</v>
      </c>
      <c r="D395" s="18">
        <v>45786</v>
      </c>
      <c r="E395" s="11" t="s">
        <v>757</v>
      </c>
      <c r="F395" s="11" t="s">
        <v>758</v>
      </c>
      <c r="G395" s="19">
        <v>115800</v>
      </c>
    </row>
    <row r="396" spans="1:7">
      <c r="A396" s="11" t="s">
        <v>144</v>
      </c>
      <c r="B396" s="11" t="s">
        <v>146</v>
      </c>
      <c r="C396" s="11" t="s">
        <v>13</v>
      </c>
      <c r="D396" s="18">
        <v>45786</v>
      </c>
      <c r="E396" s="11" t="s">
        <v>759</v>
      </c>
      <c r="F396" s="11" t="s">
        <v>295</v>
      </c>
      <c r="G396" s="19">
        <v>266200</v>
      </c>
    </row>
    <row r="397" spans="1:7">
      <c r="A397" s="11" t="s">
        <v>160</v>
      </c>
      <c r="B397" s="11" t="s">
        <v>161</v>
      </c>
      <c r="C397" s="11" t="s">
        <v>25</v>
      </c>
      <c r="D397" s="18">
        <v>45786</v>
      </c>
      <c r="E397" s="11" t="s">
        <v>760</v>
      </c>
      <c r="F397" s="11" t="s">
        <v>761</v>
      </c>
      <c r="G397" s="19">
        <v>2905000</v>
      </c>
    </row>
    <row r="398" spans="1:7">
      <c r="A398" s="11" t="s">
        <v>130</v>
      </c>
      <c r="B398" s="11" t="s">
        <v>35</v>
      </c>
      <c r="C398" s="11" t="s">
        <v>34</v>
      </c>
      <c r="D398" s="18">
        <v>45789</v>
      </c>
      <c r="E398" s="11" t="s">
        <v>762</v>
      </c>
      <c r="F398" s="11" t="s">
        <v>306</v>
      </c>
      <c r="G398" s="19">
        <v>39000</v>
      </c>
    </row>
    <row r="399" spans="1:7">
      <c r="A399" s="11" t="s">
        <v>130</v>
      </c>
      <c r="B399" s="11" t="s">
        <v>37</v>
      </c>
      <c r="C399" s="11" t="s">
        <v>13</v>
      </c>
      <c r="D399" s="18">
        <v>45789</v>
      </c>
      <c r="E399" s="11" t="s">
        <v>763</v>
      </c>
      <c r="F399" s="11" t="s">
        <v>306</v>
      </c>
      <c r="G399" s="19">
        <v>50000</v>
      </c>
    </row>
    <row r="400" spans="1:7">
      <c r="A400" s="11" t="s">
        <v>87</v>
      </c>
      <c r="B400" s="11" t="s">
        <v>94</v>
      </c>
      <c r="C400" s="11" t="s">
        <v>15</v>
      </c>
      <c r="D400" s="18">
        <v>45789</v>
      </c>
      <c r="E400" s="11" t="s">
        <v>764</v>
      </c>
      <c r="F400" s="11" t="s">
        <v>765</v>
      </c>
      <c r="G400" s="19">
        <v>2000000</v>
      </c>
    </row>
    <row r="401" spans="1:7">
      <c r="A401" s="11" t="s">
        <v>104</v>
      </c>
      <c r="B401" s="11" t="s">
        <v>108</v>
      </c>
      <c r="C401" s="11" t="s">
        <v>15</v>
      </c>
      <c r="D401" s="18">
        <v>45790</v>
      </c>
      <c r="E401" s="11" t="s">
        <v>766</v>
      </c>
      <c r="F401" s="11" t="s">
        <v>255</v>
      </c>
      <c r="G401" s="19">
        <v>60</v>
      </c>
    </row>
    <row r="402" spans="1:7">
      <c r="A402" s="11" t="s">
        <v>130</v>
      </c>
      <c r="B402" s="11" t="s">
        <v>36</v>
      </c>
      <c r="C402" s="11" t="s">
        <v>34</v>
      </c>
      <c r="D402" s="18">
        <v>45791</v>
      </c>
      <c r="E402" s="11" t="s">
        <v>767</v>
      </c>
      <c r="F402" s="11" t="s">
        <v>306</v>
      </c>
      <c r="G402" s="19">
        <v>398800</v>
      </c>
    </row>
    <row r="403" spans="1:7">
      <c r="A403" s="11" t="s">
        <v>28</v>
      </c>
      <c r="B403" s="11" t="s">
        <v>29</v>
      </c>
      <c r="C403" s="11" t="s">
        <v>15</v>
      </c>
      <c r="D403" s="18">
        <v>45791</v>
      </c>
      <c r="E403" s="11" t="s">
        <v>768</v>
      </c>
      <c r="F403" s="11" t="s">
        <v>769</v>
      </c>
      <c r="G403" s="19">
        <v>58300</v>
      </c>
    </row>
    <row r="404" spans="1:7">
      <c r="A404" s="11" t="s">
        <v>28</v>
      </c>
      <c r="B404" s="11" t="s">
        <v>29</v>
      </c>
      <c r="C404" s="11" t="s">
        <v>15</v>
      </c>
      <c r="D404" s="18">
        <v>45791</v>
      </c>
      <c r="E404" s="11" t="s">
        <v>770</v>
      </c>
      <c r="F404" s="11" t="s">
        <v>771</v>
      </c>
      <c r="G404" s="19">
        <v>40000</v>
      </c>
    </row>
    <row r="405" spans="1:7">
      <c r="A405" s="11" t="s">
        <v>28</v>
      </c>
      <c r="B405" s="11" t="s">
        <v>129</v>
      </c>
      <c r="C405" s="11" t="s">
        <v>15</v>
      </c>
      <c r="D405" s="18">
        <v>45791</v>
      </c>
      <c r="E405" s="11" t="s">
        <v>772</v>
      </c>
      <c r="F405" s="11" t="s">
        <v>773</v>
      </c>
      <c r="G405" s="19">
        <v>2459490</v>
      </c>
    </row>
    <row r="406" spans="1:7">
      <c r="A406" s="11" t="s">
        <v>160</v>
      </c>
      <c r="B406" s="11" t="s">
        <v>161</v>
      </c>
      <c r="C406" s="11" t="s">
        <v>25</v>
      </c>
      <c r="D406" s="18">
        <v>45792</v>
      </c>
      <c r="E406" s="11" t="s">
        <v>774</v>
      </c>
      <c r="F406" s="11" t="s">
        <v>775</v>
      </c>
      <c r="G406" s="19">
        <v>700000</v>
      </c>
    </row>
    <row r="407" spans="1:7">
      <c r="A407" s="11" t="s">
        <v>87</v>
      </c>
      <c r="B407" s="11" t="s">
        <v>95</v>
      </c>
      <c r="C407" s="11" t="s">
        <v>15</v>
      </c>
      <c r="D407" s="18">
        <v>45792</v>
      </c>
      <c r="E407" s="11" t="s">
        <v>776</v>
      </c>
      <c r="F407" s="11" t="s">
        <v>777</v>
      </c>
      <c r="G407" s="19">
        <v>3982000</v>
      </c>
    </row>
    <row r="408" spans="1:7">
      <c r="A408" s="11" t="s">
        <v>87</v>
      </c>
      <c r="B408" s="11" t="s">
        <v>95</v>
      </c>
      <c r="C408" s="11" t="s">
        <v>15</v>
      </c>
      <c r="D408" s="18">
        <v>45792</v>
      </c>
      <c r="E408" s="11" t="s">
        <v>778</v>
      </c>
      <c r="F408" s="11" t="s">
        <v>779</v>
      </c>
      <c r="G408" s="19">
        <v>1342000</v>
      </c>
    </row>
    <row r="409" spans="1:7">
      <c r="A409" s="11" t="s">
        <v>87</v>
      </c>
      <c r="B409" s="11" t="s">
        <v>95</v>
      </c>
      <c r="C409" s="11" t="s">
        <v>15</v>
      </c>
      <c r="D409" s="18">
        <v>45792</v>
      </c>
      <c r="E409" s="11" t="s">
        <v>780</v>
      </c>
      <c r="F409" s="11" t="s">
        <v>777</v>
      </c>
      <c r="G409" s="19">
        <v>3597000</v>
      </c>
    </row>
    <row r="410" spans="1:7">
      <c r="A410" s="11" t="s">
        <v>22</v>
      </c>
      <c r="B410" s="11" t="s">
        <v>119</v>
      </c>
      <c r="C410" s="11" t="s">
        <v>120</v>
      </c>
      <c r="D410" s="18">
        <v>45792</v>
      </c>
      <c r="E410" s="11" t="s">
        <v>781</v>
      </c>
      <c r="F410" s="11" t="s">
        <v>358</v>
      </c>
      <c r="G410" s="19">
        <v>48950</v>
      </c>
    </row>
    <row r="411" spans="1:7">
      <c r="A411" s="11" t="s">
        <v>65</v>
      </c>
      <c r="B411" s="11" t="s">
        <v>67</v>
      </c>
      <c r="C411" s="11" t="s">
        <v>66</v>
      </c>
      <c r="D411" s="18">
        <v>45792</v>
      </c>
      <c r="E411" s="11" t="s">
        <v>782</v>
      </c>
      <c r="F411" s="11" t="s">
        <v>783</v>
      </c>
      <c r="G411" s="19">
        <v>5310000</v>
      </c>
    </row>
    <row r="412" spans="1:7">
      <c r="A412" s="11" t="s">
        <v>104</v>
      </c>
      <c r="B412" s="11" t="s">
        <v>108</v>
      </c>
      <c r="C412" s="11" t="s">
        <v>44</v>
      </c>
      <c r="D412" s="18">
        <v>45792</v>
      </c>
      <c r="E412" s="11" t="s">
        <v>784</v>
      </c>
      <c r="F412" s="11" t="s">
        <v>785</v>
      </c>
      <c r="G412" s="19">
        <v>10000</v>
      </c>
    </row>
    <row r="413" spans="1:7">
      <c r="A413" s="11" t="s">
        <v>104</v>
      </c>
      <c r="B413" s="11" t="s">
        <v>108</v>
      </c>
      <c r="C413" s="11" t="s">
        <v>44</v>
      </c>
      <c r="D413" s="18">
        <v>45792</v>
      </c>
      <c r="E413" s="11" t="s">
        <v>786</v>
      </c>
      <c r="F413" s="11" t="s">
        <v>787</v>
      </c>
      <c r="G413" s="19">
        <v>460000</v>
      </c>
    </row>
    <row r="414" spans="1:7">
      <c r="A414" s="11" t="s">
        <v>55</v>
      </c>
      <c r="B414" s="11" t="s">
        <v>165</v>
      </c>
      <c r="C414" s="11" t="s">
        <v>44</v>
      </c>
      <c r="D414" s="18">
        <v>45792</v>
      </c>
      <c r="E414" s="11" t="s">
        <v>786</v>
      </c>
      <c r="F414" s="11" t="s">
        <v>788</v>
      </c>
      <c r="G414" s="19">
        <v>20000</v>
      </c>
    </row>
    <row r="415" spans="1:7">
      <c r="A415" s="11" t="s">
        <v>104</v>
      </c>
      <c r="B415" s="11" t="s">
        <v>108</v>
      </c>
      <c r="C415" s="11" t="s">
        <v>15</v>
      </c>
      <c r="D415" s="18">
        <v>45792</v>
      </c>
      <c r="E415" s="11" t="s">
        <v>789</v>
      </c>
      <c r="F415" s="11" t="s">
        <v>255</v>
      </c>
      <c r="G415" s="19">
        <v>33000</v>
      </c>
    </row>
    <row r="416" spans="1:7">
      <c r="A416" s="11" t="s">
        <v>54</v>
      </c>
      <c r="B416" s="11" t="s">
        <v>158</v>
      </c>
      <c r="C416" s="11" t="s">
        <v>120</v>
      </c>
      <c r="D416" s="18">
        <v>45793</v>
      </c>
      <c r="E416" s="11" t="s">
        <v>790</v>
      </c>
      <c r="F416" s="11" t="s">
        <v>249</v>
      </c>
      <c r="G416" s="19">
        <v>2416000</v>
      </c>
    </row>
    <row r="417" spans="1:7">
      <c r="A417" s="11" t="s">
        <v>54</v>
      </c>
      <c r="B417" s="11" t="s">
        <v>159</v>
      </c>
      <c r="C417" s="11" t="s">
        <v>120</v>
      </c>
      <c r="D417" s="18">
        <v>45793</v>
      </c>
      <c r="E417" s="11" t="s">
        <v>790</v>
      </c>
      <c r="F417" s="11" t="s">
        <v>249</v>
      </c>
      <c r="G417" s="19">
        <v>80000</v>
      </c>
    </row>
    <row r="418" spans="1:7">
      <c r="A418" s="11" t="s">
        <v>173</v>
      </c>
      <c r="B418" s="11" t="s">
        <v>180</v>
      </c>
      <c r="C418" s="11" t="s">
        <v>151</v>
      </c>
      <c r="D418" s="18">
        <v>45793</v>
      </c>
      <c r="E418" s="11" t="s">
        <v>791</v>
      </c>
      <c r="F418" s="11" t="s">
        <v>502</v>
      </c>
      <c r="G418" s="19">
        <v>30310</v>
      </c>
    </row>
    <row r="419" spans="1:7">
      <c r="A419" s="11" t="s">
        <v>104</v>
      </c>
      <c r="B419" s="11" t="s">
        <v>108</v>
      </c>
      <c r="C419" s="11" t="s">
        <v>15</v>
      </c>
      <c r="D419" s="18">
        <v>45797</v>
      </c>
      <c r="E419" s="11" t="s">
        <v>792</v>
      </c>
      <c r="F419" s="11" t="s">
        <v>793</v>
      </c>
      <c r="G419" s="19">
        <v>240000</v>
      </c>
    </row>
    <row r="420" spans="1:7">
      <c r="A420" s="11" t="s">
        <v>173</v>
      </c>
      <c r="B420" s="11" t="s">
        <v>182</v>
      </c>
      <c r="C420" s="11" t="s">
        <v>25</v>
      </c>
      <c r="D420" s="18">
        <v>45797</v>
      </c>
      <c r="E420" s="11" t="s">
        <v>794</v>
      </c>
      <c r="F420" s="11" t="s">
        <v>538</v>
      </c>
      <c r="G420" s="19">
        <v>2967040</v>
      </c>
    </row>
    <row r="421" spans="1:7">
      <c r="A421" s="11" t="s">
        <v>62</v>
      </c>
      <c r="B421" s="11" t="s">
        <v>172</v>
      </c>
      <c r="C421" s="11" t="s">
        <v>25</v>
      </c>
      <c r="D421" s="18">
        <v>45797</v>
      </c>
      <c r="E421" s="11" t="s">
        <v>794</v>
      </c>
      <c r="F421" s="11" t="s">
        <v>538</v>
      </c>
      <c r="G421" s="19">
        <v>2440680</v>
      </c>
    </row>
    <row r="422" spans="1:7">
      <c r="A422" s="11" t="s">
        <v>62</v>
      </c>
      <c r="B422" s="11" t="s">
        <v>171</v>
      </c>
      <c r="C422" s="11" t="s">
        <v>25</v>
      </c>
      <c r="D422" s="18">
        <v>45797</v>
      </c>
      <c r="E422" s="11" t="s">
        <v>794</v>
      </c>
      <c r="F422" s="11" t="s">
        <v>538</v>
      </c>
      <c r="G422" s="19">
        <v>26718460</v>
      </c>
    </row>
    <row r="423" spans="1:7">
      <c r="A423" s="11" t="s">
        <v>99</v>
      </c>
      <c r="B423" s="11" t="s">
        <v>99</v>
      </c>
      <c r="C423" s="11" t="s">
        <v>14</v>
      </c>
      <c r="D423" s="18">
        <v>45797</v>
      </c>
      <c r="E423" s="11" t="s">
        <v>795</v>
      </c>
      <c r="F423" s="11" t="s">
        <v>558</v>
      </c>
      <c r="G423" s="19">
        <v>-21800</v>
      </c>
    </row>
    <row r="424" spans="1:7">
      <c r="A424" s="11" t="s">
        <v>104</v>
      </c>
      <c r="B424" s="11" t="s">
        <v>108</v>
      </c>
      <c r="C424" s="11" t="s">
        <v>14</v>
      </c>
      <c r="D424" s="18">
        <v>45797</v>
      </c>
      <c r="E424" s="11" t="s">
        <v>795</v>
      </c>
      <c r="F424" s="11" t="s">
        <v>558</v>
      </c>
      <c r="G424" s="19">
        <v>21800</v>
      </c>
    </row>
    <row r="425" spans="1:7">
      <c r="A425" s="11" t="s">
        <v>87</v>
      </c>
      <c r="B425" s="11" t="s">
        <v>94</v>
      </c>
      <c r="C425" s="11" t="s">
        <v>15</v>
      </c>
      <c r="D425" s="18">
        <v>45797</v>
      </c>
      <c r="E425" s="11" t="s">
        <v>796</v>
      </c>
      <c r="F425" s="11" t="s">
        <v>257</v>
      </c>
      <c r="G425" s="19">
        <v>407000</v>
      </c>
    </row>
    <row r="426" spans="1:7">
      <c r="A426" s="11" t="s">
        <v>87</v>
      </c>
      <c r="B426" s="11" t="s">
        <v>88</v>
      </c>
      <c r="C426" s="11" t="s">
        <v>92</v>
      </c>
      <c r="D426" s="18">
        <v>45798</v>
      </c>
      <c r="E426" s="11" t="s">
        <v>797</v>
      </c>
      <c r="F426" s="11" t="s">
        <v>224</v>
      </c>
      <c r="G426" s="19">
        <v>11320</v>
      </c>
    </row>
    <row r="427" spans="1:7">
      <c r="A427" s="11" t="s">
        <v>52</v>
      </c>
      <c r="B427" s="11" t="s">
        <v>156</v>
      </c>
      <c r="C427" s="11" t="s">
        <v>13</v>
      </c>
      <c r="D427" s="18">
        <v>45799</v>
      </c>
      <c r="E427" s="11" t="s">
        <v>798</v>
      </c>
      <c r="F427" s="11" t="s">
        <v>486</v>
      </c>
      <c r="G427" s="19">
        <v>18450</v>
      </c>
    </row>
    <row r="428" spans="1:7">
      <c r="A428" s="11" t="s">
        <v>65</v>
      </c>
      <c r="B428" s="11" t="s">
        <v>67</v>
      </c>
      <c r="C428" s="11" t="s">
        <v>15</v>
      </c>
      <c r="D428" s="18">
        <v>45799</v>
      </c>
      <c r="E428" s="11" t="s">
        <v>799</v>
      </c>
      <c r="F428" s="11" t="s">
        <v>362</v>
      </c>
      <c r="G428" s="19">
        <v>115000</v>
      </c>
    </row>
    <row r="429" spans="1:7">
      <c r="A429" s="11" t="s">
        <v>144</v>
      </c>
      <c r="B429" s="11" t="s">
        <v>146</v>
      </c>
      <c r="C429" s="11" t="s">
        <v>13</v>
      </c>
      <c r="D429" s="18">
        <v>45799</v>
      </c>
      <c r="E429" s="11" t="s">
        <v>800</v>
      </c>
      <c r="F429" s="11" t="s">
        <v>283</v>
      </c>
      <c r="G429" s="19">
        <v>327850</v>
      </c>
    </row>
    <row r="430" spans="1:7">
      <c r="A430" s="11" t="s">
        <v>160</v>
      </c>
      <c r="B430" s="11" t="s">
        <v>161</v>
      </c>
      <c r="C430" s="11" t="s">
        <v>13</v>
      </c>
      <c r="D430" s="18">
        <v>45799</v>
      </c>
      <c r="E430" s="11" t="s">
        <v>801</v>
      </c>
      <c r="F430" s="11" t="s">
        <v>802</v>
      </c>
      <c r="G430" s="19">
        <v>14000</v>
      </c>
    </row>
    <row r="431" spans="1:7">
      <c r="A431" s="11" t="s">
        <v>43</v>
      </c>
      <c r="B431" s="11" t="s">
        <v>139</v>
      </c>
      <c r="C431" s="11" t="s">
        <v>14</v>
      </c>
      <c r="D431" s="18">
        <v>45799</v>
      </c>
      <c r="E431" s="11" t="s">
        <v>803</v>
      </c>
      <c r="F431" s="11" t="s">
        <v>451</v>
      </c>
      <c r="G431" s="19">
        <v>44000</v>
      </c>
    </row>
    <row r="432" spans="1:7">
      <c r="A432" s="11" t="s">
        <v>104</v>
      </c>
      <c r="B432" s="11" t="s">
        <v>108</v>
      </c>
      <c r="C432" s="11" t="s">
        <v>15</v>
      </c>
      <c r="D432" s="18">
        <v>45799</v>
      </c>
      <c r="E432" s="11" t="s">
        <v>804</v>
      </c>
      <c r="F432" s="11" t="s">
        <v>558</v>
      </c>
      <c r="G432" s="19">
        <v>176050</v>
      </c>
    </row>
    <row r="433" spans="1:7">
      <c r="A433" s="11" t="s">
        <v>52</v>
      </c>
      <c r="B433" s="11" t="s">
        <v>156</v>
      </c>
      <c r="C433" s="11" t="s">
        <v>13</v>
      </c>
      <c r="D433" s="18">
        <v>45799</v>
      </c>
      <c r="E433" s="11" t="s">
        <v>805</v>
      </c>
      <c r="F433" s="11" t="s">
        <v>806</v>
      </c>
      <c r="G433" s="19">
        <v>4000</v>
      </c>
    </row>
    <row r="434" spans="1:7">
      <c r="A434" s="11" t="s">
        <v>104</v>
      </c>
      <c r="B434" s="11" t="s">
        <v>108</v>
      </c>
      <c r="C434" s="11" t="s">
        <v>12</v>
      </c>
      <c r="D434" s="18">
        <v>45799</v>
      </c>
      <c r="E434" s="11" t="s">
        <v>807</v>
      </c>
      <c r="F434" s="11" t="s">
        <v>285</v>
      </c>
      <c r="G434" s="19">
        <v>9000</v>
      </c>
    </row>
    <row r="435" spans="1:7">
      <c r="A435" s="11" t="s">
        <v>11</v>
      </c>
      <c r="B435" s="11" t="s">
        <v>115</v>
      </c>
      <c r="C435" s="11" t="s">
        <v>15</v>
      </c>
      <c r="D435" s="18">
        <v>45799</v>
      </c>
      <c r="E435" s="11" t="s">
        <v>808</v>
      </c>
      <c r="F435" s="11" t="s">
        <v>587</v>
      </c>
      <c r="G435" s="19">
        <v>70200</v>
      </c>
    </row>
    <row r="436" spans="1:7">
      <c r="A436" s="11" t="s">
        <v>104</v>
      </c>
      <c r="B436" s="11" t="s">
        <v>108</v>
      </c>
      <c r="C436" s="11" t="s">
        <v>12</v>
      </c>
      <c r="D436" s="18">
        <v>45799</v>
      </c>
      <c r="E436" s="11" t="s">
        <v>809</v>
      </c>
      <c r="F436" s="11" t="s">
        <v>285</v>
      </c>
      <c r="G436" s="19">
        <v>9000</v>
      </c>
    </row>
    <row r="437" spans="1:7">
      <c r="A437" s="11" t="s">
        <v>52</v>
      </c>
      <c r="B437" s="11" t="s">
        <v>53</v>
      </c>
      <c r="C437" s="11" t="s">
        <v>13</v>
      </c>
      <c r="D437" s="18">
        <v>45799</v>
      </c>
      <c r="E437" s="11" t="s">
        <v>810</v>
      </c>
      <c r="F437" s="11" t="s">
        <v>725</v>
      </c>
      <c r="G437" s="19">
        <v>57600</v>
      </c>
    </row>
    <row r="438" spans="1:7">
      <c r="A438" s="11" t="s">
        <v>144</v>
      </c>
      <c r="B438" s="11" t="s">
        <v>146</v>
      </c>
      <c r="C438" s="11" t="s">
        <v>13</v>
      </c>
      <c r="D438" s="18">
        <v>45799</v>
      </c>
      <c r="E438" s="11" t="s">
        <v>811</v>
      </c>
      <c r="F438" s="11" t="s">
        <v>295</v>
      </c>
      <c r="G438" s="19">
        <v>65200</v>
      </c>
    </row>
    <row r="439" spans="1:7">
      <c r="A439" s="11" t="s">
        <v>104</v>
      </c>
      <c r="B439" s="11" t="s">
        <v>214</v>
      </c>
      <c r="C439" s="11" t="s">
        <v>15</v>
      </c>
      <c r="D439" s="18">
        <v>45799</v>
      </c>
      <c r="E439" s="11" t="s">
        <v>812</v>
      </c>
      <c r="F439" s="11" t="s">
        <v>270</v>
      </c>
      <c r="G439" s="19">
        <v>2320</v>
      </c>
    </row>
    <row r="440" spans="1:7">
      <c r="A440" s="11" t="s">
        <v>104</v>
      </c>
      <c r="B440" s="11" t="s">
        <v>108</v>
      </c>
      <c r="C440" s="11" t="s">
        <v>15</v>
      </c>
      <c r="D440" s="18">
        <v>45799</v>
      </c>
      <c r="E440" s="11" t="s">
        <v>813</v>
      </c>
      <c r="F440" s="11" t="s">
        <v>814</v>
      </c>
      <c r="G440" s="19">
        <v>22000</v>
      </c>
    </row>
    <row r="441" spans="1:7">
      <c r="A441" s="11" t="s">
        <v>87</v>
      </c>
      <c r="B441" s="11" t="s">
        <v>96</v>
      </c>
      <c r="C441" s="11" t="s">
        <v>15</v>
      </c>
      <c r="D441" s="18">
        <v>45799</v>
      </c>
      <c r="E441" s="11" t="s">
        <v>815</v>
      </c>
      <c r="F441" s="11" t="s">
        <v>558</v>
      </c>
      <c r="G441" s="19">
        <v>230020</v>
      </c>
    </row>
    <row r="442" spans="1:7">
      <c r="A442" s="11" t="s">
        <v>173</v>
      </c>
      <c r="B442" s="11" t="s">
        <v>184</v>
      </c>
      <c r="C442" s="11" t="s">
        <v>31</v>
      </c>
      <c r="D442" s="18">
        <v>45799</v>
      </c>
      <c r="E442" s="11" t="s">
        <v>816</v>
      </c>
      <c r="F442" s="11" t="s">
        <v>283</v>
      </c>
      <c r="G442" s="19">
        <v>373930</v>
      </c>
    </row>
    <row r="443" spans="1:7">
      <c r="A443" s="11" t="s">
        <v>173</v>
      </c>
      <c r="B443" s="11" t="s">
        <v>184</v>
      </c>
      <c r="C443" s="11" t="s">
        <v>31</v>
      </c>
      <c r="D443" s="18">
        <v>45799</v>
      </c>
      <c r="E443" s="11" t="s">
        <v>817</v>
      </c>
      <c r="F443" s="11" t="s">
        <v>270</v>
      </c>
      <c r="G443" s="19">
        <v>2039000</v>
      </c>
    </row>
    <row r="444" spans="1:7">
      <c r="A444" s="11" t="s">
        <v>104</v>
      </c>
      <c r="B444" s="11" t="s">
        <v>214</v>
      </c>
      <c r="C444" s="11" t="s">
        <v>14</v>
      </c>
      <c r="D444" s="18">
        <v>45799</v>
      </c>
      <c r="E444" s="11" t="s">
        <v>818</v>
      </c>
      <c r="F444" s="11" t="s">
        <v>283</v>
      </c>
      <c r="G444" s="19">
        <v>39600</v>
      </c>
    </row>
    <row r="445" spans="1:7">
      <c r="A445" s="11" t="s">
        <v>144</v>
      </c>
      <c r="B445" s="11" t="s">
        <v>146</v>
      </c>
      <c r="C445" s="11" t="s">
        <v>13</v>
      </c>
      <c r="D445" s="18">
        <v>45799</v>
      </c>
      <c r="E445" s="11" t="s">
        <v>819</v>
      </c>
      <c r="F445" s="11" t="s">
        <v>295</v>
      </c>
      <c r="G445" s="19">
        <v>176190</v>
      </c>
    </row>
    <row r="446" spans="1:7">
      <c r="A446" s="11" t="s">
        <v>87</v>
      </c>
      <c r="B446" s="11" t="s">
        <v>88</v>
      </c>
      <c r="C446" s="11" t="s">
        <v>92</v>
      </c>
      <c r="D446" s="18">
        <v>45799</v>
      </c>
      <c r="E446" s="11" t="s">
        <v>820</v>
      </c>
      <c r="F446" s="11" t="s">
        <v>821</v>
      </c>
      <c r="G446" s="19">
        <v>6360</v>
      </c>
    </row>
    <row r="447" spans="1:7">
      <c r="A447" s="11" t="s">
        <v>173</v>
      </c>
      <c r="B447" s="11" t="s">
        <v>180</v>
      </c>
      <c r="C447" s="11" t="s">
        <v>13</v>
      </c>
      <c r="D447" s="18">
        <v>45799</v>
      </c>
      <c r="E447" s="11" t="s">
        <v>822</v>
      </c>
      <c r="F447" s="11" t="s">
        <v>558</v>
      </c>
      <c r="G447" s="19">
        <v>567600</v>
      </c>
    </row>
    <row r="448" spans="1:7">
      <c r="A448" s="11" t="s">
        <v>173</v>
      </c>
      <c r="B448" s="11" t="s">
        <v>184</v>
      </c>
      <c r="C448" s="11" t="s">
        <v>15</v>
      </c>
      <c r="D448" s="18">
        <v>45799</v>
      </c>
      <c r="E448" s="11" t="s">
        <v>823</v>
      </c>
      <c r="F448" s="11" t="s">
        <v>283</v>
      </c>
      <c r="G448" s="19">
        <v>69420</v>
      </c>
    </row>
    <row r="449" spans="1:7">
      <c r="A449" s="11" t="s">
        <v>144</v>
      </c>
      <c r="B449" s="11" t="s">
        <v>49</v>
      </c>
      <c r="C449" s="11" t="s">
        <v>50</v>
      </c>
      <c r="D449" s="18">
        <v>45799</v>
      </c>
      <c r="E449" s="11" t="s">
        <v>824</v>
      </c>
      <c r="F449" s="11" t="s">
        <v>295</v>
      </c>
      <c r="G449" s="19">
        <v>30200</v>
      </c>
    </row>
    <row r="450" spans="1:7">
      <c r="A450" s="11" t="s">
        <v>55</v>
      </c>
      <c r="B450" s="11" t="s">
        <v>165</v>
      </c>
      <c r="C450" s="11" t="s">
        <v>13</v>
      </c>
      <c r="D450" s="18">
        <v>45799</v>
      </c>
      <c r="E450" s="11" t="s">
        <v>825</v>
      </c>
      <c r="F450" s="11" t="s">
        <v>826</v>
      </c>
      <c r="G450" s="19">
        <v>196000</v>
      </c>
    </row>
    <row r="451" spans="1:7">
      <c r="A451" s="11" t="s">
        <v>55</v>
      </c>
      <c r="B451" s="11" t="s">
        <v>167</v>
      </c>
      <c r="C451" s="11" t="s">
        <v>31</v>
      </c>
      <c r="D451" s="18">
        <v>45799</v>
      </c>
      <c r="E451" s="11" t="s">
        <v>827</v>
      </c>
      <c r="F451" s="11" t="s">
        <v>828</v>
      </c>
      <c r="G451" s="19">
        <v>3520000</v>
      </c>
    </row>
    <row r="452" spans="1:7">
      <c r="A452" s="11" t="s">
        <v>43</v>
      </c>
      <c r="B452" s="11" t="s">
        <v>139</v>
      </c>
      <c r="C452" s="11" t="s">
        <v>14</v>
      </c>
      <c r="D452" s="18">
        <v>45799</v>
      </c>
      <c r="E452" s="11" t="s">
        <v>829</v>
      </c>
      <c r="F452" s="11" t="s">
        <v>451</v>
      </c>
      <c r="G452" s="19">
        <v>137500</v>
      </c>
    </row>
    <row r="453" spans="1:7">
      <c r="A453" s="11" t="s">
        <v>87</v>
      </c>
      <c r="B453" s="11" t="s">
        <v>88</v>
      </c>
      <c r="C453" s="11" t="s">
        <v>92</v>
      </c>
      <c r="D453" s="18">
        <v>45799</v>
      </c>
      <c r="E453" s="11" t="s">
        <v>830</v>
      </c>
      <c r="F453" s="11" t="s">
        <v>821</v>
      </c>
      <c r="G453" s="19">
        <v>3860</v>
      </c>
    </row>
    <row r="454" spans="1:7">
      <c r="A454" s="11" t="s">
        <v>17</v>
      </c>
      <c r="B454" s="11" t="s">
        <v>118</v>
      </c>
      <c r="C454" s="11" t="s">
        <v>14</v>
      </c>
      <c r="D454" s="18">
        <v>45799</v>
      </c>
      <c r="E454" s="11" t="s">
        <v>831</v>
      </c>
      <c r="F454" s="11" t="s">
        <v>832</v>
      </c>
      <c r="G454" s="19">
        <v>60000</v>
      </c>
    </row>
    <row r="455" spans="1:7">
      <c r="A455" s="11" t="s">
        <v>43</v>
      </c>
      <c r="B455" s="11" t="s">
        <v>139</v>
      </c>
      <c r="C455" s="11" t="s">
        <v>14</v>
      </c>
      <c r="D455" s="18">
        <v>45799</v>
      </c>
      <c r="E455" s="11" t="s">
        <v>833</v>
      </c>
      <c r="F455" s="11" t="s">
        <v>451</v>
      </c>
      <c r="G455" s="19">
        <v>71500</v>
      </c>
    </row>
    <row r="456" spans="1:7">
      <c r="A456" s="11" t="s">
        <v>52</v>
      </c>
      <c r="B456" s="11" t="s">
        <v>53</v>
      </c>
      <c r="C456" s="11" t="s">
        <v>13</v>
      </c>
      <c r="D456" s="18">
        <v>45799</v>
      </c>
      <c r="E456" s="11" t="s">
        <v>834</v>
      </c>
      <c r="F456" s="11" t="s">
        <v>586</v>
      </c>
      <c r="G456" s="19">
        <v>259600</v>
      </c>
    </row>
    <row r="457" spans="1:7">
      <c r="A457" s="11" t="s">
        <v>130</v>
      </c>
      <c r="B457" s="11" t="s">
        <v>37</v>
      </c>
      <c r="C457" s="11" t="s">
        <v>25</v>
      </c>
      <c r="D457" s="18">
        <v>45799</v>
      </c>
      <c r="E457" s="11" t="s">
        <v>835</v>
      </c>
      <c r="F457" s="11" t="s">
        <v>836</v>
      </c>
      <c r="G457" s="19">
        <v>400000</v>
      </c>
    </row>
    <row r="458" spans="1:7">
      <c r="A458" s="11" t="s">
        <v>28</v>
      </c>
      <c r="B458" s="11" t="s">
        <v>125</v>
      </c>
      <c r="C458" s="11" t="s">
        <v>15</v>
      </c>
      <c r="D458" s="18">
        <v>45799</v>
      </c>
      <c r="E458" s="11" t="s">
        <v>837</v>
      </c>
      <c r="F458" s="11" t="s">
        <v>838</v>
      </c>
      <c r="G458" s="19">
        <v>891540</v>
      </c>
    </row>
    <row r="459" spans="1:7">
      <c r="A459" s="11" t="s">
        <v>75</v>
      </c>
      <c r="B459" s="11" t="s">
        <v>195</v>
      </c>
      <c r="C459" s="11" t="s">
        <v>15</v>
      </c>
      <c r="D459" s="18">
        <v>45799</v>
      </c>
      <c r="E459" s="11" t="s">
        <v>839</v>
      </c>
      <c r="F459" s="11" t="s">
        <v>225</v>
      </c>
      <c r="G459" s="19">
        <v>297000</v>
      </c>
    </row>
    <row r="460" spans="1:7">
      <c r="A460" s="11" t="s">
        <v>87</v>
      </c>
      <c r="B460" s="11" t="s">
        <v>94</v>
      </c>
      <c r="C460" s="11" t="s">
        <v>15</v>
      </c>
      <c r="D460" s="18">
        <v>45799</v>
      </c>
      <c r="E460" s="11" t="s">
        <v>840</v>
      </c>
      <c r="F460" s="11" t="s">
        <v>308</v>
      </c>
      <c r="G460" s="19">
        <v>42350</v>
      </c>
    </row>
    <row r="461" spans="1:7">
      <c r="A461" s="11" t="s">
        <v>104</v>
      </c>
      <c r="B461" s="11" t="s">
        <v>214</v>
      </c>
      <c r="C461" s="11" t="s">
        <v>12</v>
      </c>
      <c r="D461" s="18">
        <v>45799</v>
      </c>
      <c r="E461" s="11" t="s">
        <v>841</v>
      </c>
      <c r="F461" s="11" t="s">
        <v>842</v>
      </c>
      <c r="G461" s="19">
        <v>450000</v>
      </c>
    </row>
    <row r="462" spans="1:7">
      <c r="A462" s="11" t="s">
        <v>52</v>
      </c>
      <c r="B462" s="11" t="s">
        <v>53</v>
      </c>
      <c r="C462" s="11" t="s">
        <v>13</v>
      </c>
      <c r="D462" s="18">
        <v>45799</v>
      </c>
      <c r="E462" s="11" t="s">
        <v>843</v>
      </c>
      <c r="F462" s="11" t="s">
        <v>295</v>
      </c>
      <c r="G462" s="19">
        <v>288000</v>
      </c>
    </row>
    <row r="463" spans="1:7">
      <c r="A463" s="11" t="s">
        <v>72</v>
      </c>
      <c r="B463" s="11" t="s">
        <v>192</v>
      </c>
      <c r="C463" s="11" t="s">
        <v>34</v>
      </c>
      <c r="D463" s="18">
        <v>45799</v>
      </c>
      <c r="E463" s="11" t="s">
        <v>844</v>
      </c>
      <c r="F463" s="11" t="s">
        <v>845</v>
      </c>
      <c r="G463" s="19">
        <v>156860</v>
      </c>
    </row>
    <row r="464" spans="1:7">
      <c r="A464" s="11" t="s">
        <v>28</v>
      </c>
      <c r="B464" s="11" t="s">
        <v>29</v>
      </c>
      <c r="C464" s="11" t="s">
        <v>15</v>
      </c>
      <c r="D464" s="18">
        <v>45800</v>
      </c>
      <c r="E464" s="11" t="s">
        <v>846</v>
      </c>
      <c r="F464" s="11" t="s">
        <v>847</v>
      </c>
      <c r="G464" s="19">
        <v>765600</v>
      </c>
    </row>
    <row r="465" spans="1:7">
      <c r="A465" s="11" t="s">
        <v>72</v>
      </c>
      <c r="B465" s="11" t="s">
        <v>192</v>
      </c>
      <c r="C465" s="11" t="s">
        <v>25</v>
      </c>
      <c r="D465" s="18">
        <v>45800</v>
      </c>
      <c r="E465" s="11" t="s">
        <v>848</v>
      </c>
      <c r="F465" s="11" t="s">
        <v>849</v>
      </c>
      <c r="G465" s="19">
        <v>120000</v>
      </c>
    </row>
    <row r="466" spans="1:7">
      <c r="A466" s="11" t="s">
        <v>72</v>
      </c>
      <c r="B466" s="11" t="s">
        <v>192</v>
      </c>
      <c r="C466" s="11" t="s">
        <v>25</v>
      </c>
      <c r="D466" s="18">
        <v>45800</v>
      </c>
      <c r="E466" s="11" t="s">
        <v>850</v>
      </c>
      <c r="F466" s="11" t="s">
        <v>851</v>
      </c>
      <c r="G466" s="19">
        <v>120000</v>
      </c>
    </row>
    <row r="467" spans="1:7">
      <c r="A467" s="11" t="s">
        <v>99</v>
      </c>
      <c r="B467" s="11" t="s">
        <v>99</v>
      </c>
      <c r="C467" s="11" t="s">
        <v>44</v>
      </c>
      <c r="D467" s="18">
        <v>45800</v>
      </c>
      <c r="E467" s="11" t="s">
        <v>852</v>
      </c>
      <c r="F467" s="11" t="s">
        <v>376</v>
      </c>
      <c r="G467" s="19">
        <v>20000</v>
      </c>
    </row>
    <row r="468" spans="1:7">
      <c r="A468" s="11" t="s">
        <v>130</v>
      </c>
      <c r="B468" s="11" t="s">
        <v>132</v>
      </c>
      <c r="C468" s="11" t="s">
        <v>15</v>
      </c>
      <c r="D468" s="18">
        <v>45803</v>
      </c>
      <c r="E468" s="11" t="s">
        <v>853</v>
      </c>
      <c r="F468" s="11" t="s">
        <v>317</v>
      </c>
      <c r="G468" s="19">
        <v>450000</v>
      </c>
    </row>
    <row r="469" spans="1:7">
      <c r="A469" s="11" t="s">
        <v>173</v>
      </c>
      <c r="B469" s="11" t="s">
        <v>183</v>
      </c>
      <c r="C469" s="11" t="s">
        <v>12</v>
      </c>
      <c r="D469" s="18">
        <v>45803</v>
      </c>
      <c r="E469" s="11" t="s">
        <v>854</v>
      </c>
      <c r="F469" s="11" t="s">
        <v>855</v>
      </c>
      <c r="G469" s="19">
        <v>2020000</v>
      </c>
    </row>
    <row r="470" spans="1:7">
      <c r="A470" s="11" t="s">
        <v>28</v>
      </c>
      <c r="B470" s="11" t="s">
        <v>29</v>
      </c>
      <c r="C470" s="11" t="s">
        <v>15</v>
      </c>
      <c r="D470" s="18">
        <v>45803</v>
      </c>
      <c r="E470" s="11" t="s">
        <v>856</v>
      </c>
      <c r="F470" s="11" t="s">
        <v>857</v>
      </c>
      <c r="G470" s="19">
        <v>55000</v>
      </c>
    </row>
    <row r="471" spans="1:7">
      <c r="A471" s="11" t="s">
        <v>28</v>
      </c>
      <c r="B471" s="11" t="s">
        <v>29</v>
      </c>
      <c r="C471" s="11" t="s">
        <v>15</v>
      </c>
      <c r="D471" s="18">
        <v>45803</v>
      </c>
      <c r="E471" s="11" t="s">
        <v>858</v>
      </c>
      <c r="F471" s="11" t="s">
        <v>859</v>
      </c>
      <c r="G471" s="19">
        <v>3000</v>
      </c>
    </row>
    <row r="472" spans="1:7">
      <c r="A472" s="11" t="s">
        <v>87</v>
      </c>
      <c r="B472" s="11" t="s">
        <v>88</v>
      </c>
      <c r="C472" s="11" t="s">
        <v>92</v>
      </c>
      <c r="D472" s="18">
        <v>45803</v>
      </c>
      <c r="E472" s="11" t="s">
        <v>860</v>
      </c>
      <c r="F472" s="11" t="s">
        <v>323</v>
      </c>
      <c r="G472" s="19">
        <v>13200</v>
      </c>
    </row>
    <row r="473" spans="1:7">
      <c r="A473" s="11" t="s">
        <v>38</v>
      </c>
      <c r="B473" s="11" t="s">
        <v>39</v>
      </c>
      <c r="C473" s="11" t="s">
        <v>15</v>
      </c>
      <c r="D473" s="18">
        <v>45803</v>
      </c>
      <c r="E473" s="11" t="s">
        <v>861</v>
      </c>
      <c r="F473" s="11" t="s">
        <v>330</v>
      </c>
      <c r="G473" s="19">
        <v>16500</v>
      </c>
    </row>
    <row r="474" spans="1:7">
      <c r="A474" s="11" t="s">
        <v>87</v>
      </c>
      <c r="B474" s="11" t="s">
        <v>30</v>
      </c>
      <c r="C474" s="11" t="s">
        <v>30</v>
      </c>
      <c r="D474" s="18">
        <v>45803</v>
      </c>
      <c r="E474" s="11" t="s">
        <v>862</v>
      </c>
      <c r="F474" s="11" t="s">
        <v>321</v>
      </c>
      <c r="G474" s="19">
        <v>1717760</v>
      </c>
    </row>
    <row r="475" spans="1:7">
      <c r="A475" s="11" t="s">
        <v>28</v>
      </c>
      <c r="B475" s="11" t="s">
        <v>29</v>
      </c>
      <c r="C475" s="11" t="s">
        <v>30</v>
      </c>
      <c r="D475" s="18">
        <v>45803</v>
      </c>
      <c r="E475" s="11" t="s">
        <v>863</v>
      </c>
      <c r="F475" s="11" t="s">
        <v>321</v>
      </c>
      <c r="G475" s="19">
        <v>1644390</v>
      </c>
    </row>
    <row r="476" spans="1:7">
      <c r="A476" s="11" t="s">
        <v>87</v>
      </c>
      <c r="B476" s="11" t="s">
        <v>88</v>
      </c>
      <c r="C476" s="11" t="s">
        <v>92</v>
      </c>
      <c r="D476" s="18">
        <v>45803</v>
      </c>
      <c r="E476" s="11" t="s">
        <v>864</v>
      </c>
      <c r="F476" s="11" t="s">
        <v>330</v>
      </c>
      <c r="G476" s="19">
        <v>874510</v>
      </c>
    </row>
    <row r="477" spans="1:7">
      <c r="A477" s="11" t="s">
        <v>38</v>
      </c>
      <c r="B477" s="11" t="s">
        <v>136</v>
      </c>
      <c r="C477" s="11" t="s">
        <v>15</v>
      </c>
      <c r="D477" s="18">
        <v>45803</v>
      </c>
      <c r="E477" s="11" t="s">
        <v>865</v>
      </c>
      <c r="F477" s="11" t="s">
        <v>335</v>
      </c>
      <c r="G477" s="19">
        <v>858600</v>
      </c>
    </row>
    <row r="478" spans="1:7">
      <c r="A478" s="11" t="s">
        <v>38</v>
      </c>
      <c r="B478" s="11" t="s">
        <v>136</v>
      </c>
      <c r="C478" s="11" t="s">
        <v>15</v>
      </c>
      <c r="D478" s="18">
        <v>45803</v>
      </c>
      <c r="E478" s="11" t="s">
        <v>866</v>
      </c>
      <c r="F478" s="11" t="s">
        <v>326</v>
      </c>
      <c r="G478" s="19">
        <v>267320</v>
      </c>
    </row>
    <row r="479" spans="1:7">
      <c r="A479" s="11" t="s">
        <v>87</v>
      </c>
      <c r="B479" s="11" t="s">
        <v>95</v>
      </c>
      <c r="C479" s="11" t="s">
        <v>15</v>
      </c>
      <c r="D479" s="18">
        <v>45804</v>
      </c>
      <c r="E479" s="11" t="s">
        <v>867</v>
      </c>
      <c r="F479" s="11" t="s">
        <v>360</v>
      </c>
      <c r="G479" s="19">
        <v>680000</v>
      </c>
    </row>
    <row r="480" spans="1:7">
      <c r="A480" s="11" t="s">
        <v>104</v>
      </c>
      <c r="B480" s="11" t="s">
        <v>108</v>
      </c>
      <c r="C480" s="11" t="s">
        <v>15</v>
      </c>
      <c r="D480" s="18">
        <v>45804</v>
      </c>
      <c r="E480" s="11" t="s">
        <v>868</v>
      </c>
      <c r="F480" s="11" t="s">
        <v>255</v>
      </c>
      <c r="G480" s="19">
        <v>120</v>
      </c>
    </row>
    <row r="481" spans="1:7">
      <c r="A481" s="11" t="s">
        <v>87</v>
      </c>
      <c r="B481" s="11" t="s">
        <v>97</v>
      </c>
      <c r="C481" s="11" t="s">
        <v>15</v>
      </c>
      <c r="D481" s="18">
        <v>45804</v>
      </c>
      <c r="E481" s="11" t="s">
        <v>869</v>
      </c>
      <c r="F481" s="11" t="s">
        <v>350</v>
      </c>
      <c r="G481" s="19">
        <v>4695930</v>
      </c>
    </row>
    <row r="482" spans="1:7">
      <c r="A482" s="11" t="s">
        <v>87</v>
      </c>
      <c r="B482" s="11" t="s">
        <v>94</v>
      </c>
      <c r="C482" s="11" t="s">
        <v>15</v>
      </c>
      <c r="D482" s="18">
        <v>45804</v>
      </c>
      <c r="E482" s="11" t="s">
        <v>870</v>
      </c>
      <c r="F482" s="11" t="s">
        <v>346</v>
      </c>
      <c r="G482" s="19">
        <v>330000</v>
      </c>
    </row>
    <row r="483" spans="1:7">
      <c r="A483" s="11" t="s">
        <v>87</v>
      </c>
      <c r="B483" s="11" t="s">
        <v>94</v>
      </c>
      <c r="C483" s="11" t="s">
        <v>15</v>
      </c>
      <c r="D483" s="18">
        <v>45804</v>
      </c>
      <c r="E483" s="11" t="s">
        <v>871</v>
      </c>
      <c r="F483" s="11" t="s">
        <v>340</v>
      </c>
      <c r="G483" s="19">
        <v>198000</v>
      </c>
    </row>
    <row r="484" spans="1:7">
      <c r="A484" s="11" t="s">
        <v>87</v>
      </c>
      <c r="B484" s="11" t="s">
        <v>210</v>
      </c>
      <c r="C484" s="11" t="s">
        <v>15</v>
      </c>
      <c r="D484" s="18">
        <v>45804</v>
      </c>
      <c r="E484" s="11" t="s">
        <v>872</v>
      </c>
      <c r="F484" s="11" t="s">
        <v>384</v>
      </c>
      <c r="G484" s="19">
        <v>6310760</v>
      </c>
    </row>
    <row r="485" spans="1:7">
      <c r="A485" s="11" t="s">
        <v>38</v>
      </c>
      <c r="B485" s="11" t="s">
        <v>138</v>
      </c>
      <c r="C485" s="11" t="s">
        <v>15</v>
      </c>
      <c r="D485" s="18">
        <v>45804</v>
      </c>
      <c r="E485" s="11" t="s">
        <v>873</v>
      </c>
      <c r="F485" s="11" t="s">
        <v>348</v>
      </c>
      <c r="G485" s="19">
        <v>1315540</v>
      </c>
    </row>
    <row r="486" spans="1:7">
      <c r="A486" s="11" t="s">
        <v>75</v>
      </c>
      <c r="B486" s="11" t="s">
        <v>76</v>
      </c>
      <c r="C486" s="11" t="s">
        <v>15</v>
      </c>
      <c r="D486" s="18">
        <v>45804</v>
      </c>
      <c r="E486" s="11" t="s">
        <v>874</v>
      </c>
      <c r="F486" s="11" t="s">
        <v>344</v>
      </c>
      <c r="G486" s="19">
        <v>1166000</v>
      </c>
    </row>
    <row r="487" spans="1:7">
      <c r="A487" s="11" t="s">
        <v>87</v>
      </c>
      <c r="B487" s="11" t="s">
        <v>94</v>
      </c>
      <c r="C487" s="11" t="s">
        <v>15</v>
      </c>
      <c r="D487" s="18">
        <v>45804</v>
      </c>
      <c r="E487" s="11" t="s">
        <v>875</v>
      </c>
      <c r="F487" s="11" t="s">
        <v>352</v>
      </c>
      <c r="G487" s="19">
        <v>4338280</v>
      </c>
    </row>
    <row r="488" spans="1:7">
      <c r="A488" s="11" t="s">
        <v>87</v>
      </c>
      <c r="B488" s="11" t="s">
        <v>94</v>
      </c>
      <c r="C488" s="11" t="s">
        <v>15</v>
      </c>
      <c r="D488" s="18">
        <v>45804</v>
      </c>
      <c r="E488" s="11" t="s">
        <v>876</v>
      </c>
      <c r="F488" s="11" t="s">
        <v>342</v>
      </c>
      <c r="G488" s="19">
        <v>660000</v>
      </c>
    </row>
    <row r="489" spans="1:7">
      <c r="A489" s="11" t="s">
        <v>38</v>
      </c>
      <c r="B489" s="11" t="s">
        <v>137</v>
      </c>
      <c r="C489" s="11" t="s">
        <v>15</v>
      </c>
      <c r="D489" s="18">
        <v>45805</v>
      </c>
      <c r="E489" s="11" t="s">
        <v>877</v>
      </c>
      <c r="F489" s="11" t="s">
        <v>326</v>
      </c>
      <c r="G489" s="19">
        <v>376800</v>
      </c>
    </row>
    <row r="490" spans="1:7">
      <c r="A490" s="11" t="s">
        <v>43</v>
      </c>
      <c r="B490" s="11" t="s">
        <v>139</v>
      </c>
      <c r="C490" s="11" t="s">
        <v>15</v>
      </c>
      <c r="D490" s="18">
        <v>45805</v>
      </c>
      <c r="E490" s="11" t="s">
        <v>878</v>
      </c>
      <c r="F490" s="11" t="s">
        <v>283</v>
      </c>
      <c r="G490" s="19">
        <v>-15850</v>
      </c>
    </row>
    <row r="491" spans="1:7">
      <c r="A491" s="11" t="s">
        <v>52</v>
      </c>
      <c r="B491" s="11" t="s">
        <v>155</v>
      </c>
      <c r="C491" s="11" t="s">
        <v>13</v>
      </c>
      <c r="D491" s="18">
        <v>45805</v>
      </c>
      <c r="E491" s="11" t="s">
        <v>879</v>
      </c>
      <c r="F491" s="11" t="s">
        <v>272</v>
      </c>
      <c r="G491" s="19">
        <v>-46500</v>
      </c>
    </row>
    <row r="492" spans="1:7">
      <c r="A492" s="11" t="s">
        <v>43</v>
      </c>
      <c r="B492" s="11" t="s">
        <v>139</v>
      </c>
      <c r="C492" s="11" t="s">
        <v>15</v>
      </c>
      <c r="D492" s="18">
        <v>45806</v>
      </c>
      <c r="E492" s="11" t="s">
        <v>880</v>
      </c>
      <c r="F492" s="11" t="s">
        <v>243</v>
      </c>
      <c r="G492" s="19">
        <v>24750</v>
      </c>
    </row>
    <row r="493" spans="1:7">
      <c r="A493" s="11" t="s">
        <v>70</v>
      </c>
      <c r="B493" s="11" t="s">
        <v>191</v>
      </c>
      <c r="C493" s="11" t="s">
        <v>25</v>
      </c>
      <c r="D493" s="18">
        <v>45806</v>
      </c>
      <c r="E493" s="11" t="s">
        <v>881</v>
      </c>
      <c r="F493" s="11" t="s">
        <v>659</v>
      </c>
      <c r="G493" s="19">
        <v>450000</v>
      </c>
    </row>
    <row r="494" spans="1:7">
      <c r="A494" s="11" t="s">
        <v>87</v>
      </c>
      <c r="B494" s="11" t="s">
        <v>95</v>
      </c>
      <c r="C494" s="11" t="s">
        <v>15</v>
      </c>
      <c r="D494" s="18">
        <v>45806</v>
      </c>
      <c r="E494" s="11" t="s">
        <v>882</v>
      </c>
      <c r="F494" s="11" t="s">
        <v>883</v>
      </c>
      <c r="G494" s="19">
        <v>139080</v>
      </c>
    </row>
    <row r="495" spans="1:7">
      <c r="A495" s="11" t="s">
        <v>75</v>
      </c>
      <c r="B495" s="11" t="s">
        <v>76</v>
      </c>
      <c r="C495" s="11" t="s">
        <v>15</v>
      </c>
      <c r="D495" s="18">
        <v>45806</v>
      </c>
      <c r="E495" s="11" t="s">
        <v>884</v>
      </c>
      <c r="F495" s="11" t="s">
        <v>885</v>
      </c>
      <c r="G495" s="19">
        <v>482400</v>
      </c>
    </row>
    <row r="496" spans="1:7">
      <c r="A496" s="11" t="s">
        <v>87</v>
      </c>
      <c r="B496" s="11" t="s">
        <v>95</v>
      </c>
      <c r="C496" s="11" t="s">
        <v>15</v>
      </c>
      <c r="D496" s="18">
        <v>45806</v>
      </c>
      <c r="E496" s="11" t="s">
        <v>886</v>
      </c>
      <c r="F496" s="11" t="s">
        <v>887</v>
      </c>
      <c r="G496" s="19">
        <v>48000</v>
      </c>
    </row>
    <row r="497" spans="1:7">
      <c r="A497" s="11" t="s">
        <v>173</v>
      </c>
      <c r="B497" s="11" t="s">
        <v>180</v>
      </c>
      <c r="C497" s="11" t="s">
        <v>25</v>
      </c>
      <c r="D497" s="18">
        <v>45806</v>
      </c>
      <c r="E497" s="11" t="s">
        <v>888</v>
      </c>
      <c r="F497" s="11" t="s">
        <v>387</v>
      </c>
      <c r="G497" s="19">
        <v>80000</v>
      </c>
    </row>
    <row r="498" spans="1:7">
      <c r="A498" s="11" t="s">
        <v>109</v>
      </c>
      <c r="B498" s="11" t="s">
        <v>215</v>
      </c>
      <c r="C498" s="11" t="s">
        <v>120</v>
      </c>
      <c r="D498" s="18">
        <v>45807</v>
      </c>
      <c r="E498" s="11" t="s">
        <v>889</v>
      </c>
      <c r="F498" s="11" t="s">
        <v>370</v>
      </c>
      <c r="G498" s="19">
        <v>1262560</v>
      </c>
    </row>
    <row r="499" spans="1:7">
      <c r="A499" s="11" t="s">
        <v>55</v>
      </c>
      <c r="B499" s="11" t="s">
        <v>163</v>
      </c>
      <c r="C499" s="11" t="s">
        <v>120</v>
      </c>
      <c r="D499" s="18">
        <v>45807</v>
      </c>
      <c r="E499" s="11" t="s">
        <v>890</v>
      </c>
      <c r="F499" s="11" t="s">
        <v>372</v>
      </c>
      <c r="G499" s="19">
        <v>2428000</v>
      </c>
    </row>
    <row r="500" spans="1:7">
      <c r="A500" s="11" t="s">
        <v>200</v>
      </c>
      <c r="B500" s="11" t="s">
        <v>201</v>
      </c>
      <c r="C500" s="11" t="s">
        <v>120</v>
      </c>
      <c r="D500" s="18">
        <v>45807</v>
      </c>
      <c r="E500" s="11" t="s">
        <v>891</v>
      </c>
      <c r="F500" s="11" t="s">
        <v>368</v>
      </c>
      <c r="G500" s="19">
        <v>4416540</v>
      </c>
    </row>
    <row r="501" spans="1:7">
      <c r="A501" s="11" t="s">
        <v>22</v>
      </c>
      <c r="B501" s="11" t="s">
        <v>119</v>
      </c>
      <c r="C501" s="11" t="s">
        <v>120</v>
      </c>
      <c r="D501" s="18">
        <v>45807</v>
      </c>
      <c r="E501" s="11" t="s">
        <v>892</v>
      </c>
      <c r="F501" s="11" t="s">
        <v>642</v>
      </c>
      <c r="G501" s="19">
        <v>12966520</v>
      </c>
    </row>
    <row r="502" spans="1:7">
      <c r="A502" s="11" t="s">
        <v>144</v>
      </c>
      <c r="B502" s="11" t="s">
        <v>147</v>
      </c>
      <c r="C502" s="11" t="s">
        <v>25</v>
      </c>
      <c r="D502" s="18">
        <v>45807</v>
      </c>
      <c r="E502" s="11" t="s">
        <v>893</v>
      </c>
      <c r="F502" s="11" t="s">
        <v>445</v>
      </c>
      <c r="G502" s="19">
        <v>1050000</v>
      </c>
    </row>
    <row r="503" spans="1:7">
      <c r="A503" s="11" t="s">
        <v>72</v>
      </c>
      <c r="B503" s="11" t="s">
        <v>192</v>
      </c>
      <c r="C503" s="11" t="s">
        <v>120</v>
      </c>
      <c r="D503" s="18">
        <v>45807</v>
      </c>
      <c r="E503" s="11" t="s">
        <v>893</v>
      </c>
      <c r="F503" s="11" t="s">
        <v>446</v>
      </c>
      <c r="G503" s="19">
        <v>1575000</v>
      </c>
    </row>
    <row r="504" spans="1:7">
      <c r="A504" s="11" t="s">
        <v>173</v>
      </c>
      <c r="B504" s="11" t="s">
        <v>180</v>
      </c>
      <c r="C504" s="11" t="s">
        <v>25</v>
      </c>
      <c r="D504" s="18">
        <v>45807</v>
      </c>
      <c r="E504" s="11" t="s">
        <v>894</v>
      </c>
      <c r="F504" s="11" t="s">
        <v>249</v>
      </c>
      <c r="G504" s="19">
        <v>640000</v>
      </c>
    </row>
    <row r="505" spans="1:7">
      <c r="A505" s="11" t="s">
        <v>173</v>
      </c>
      <c r="B505" s="11" t="s">
        <v>180</v>
      </c>
      <c r="C505" s="11" t="s">
        <v>25</v>
      </c>
      <c r="D505" s="18">
        <v>45807</v>
      </c>
      <c r="E505" s="11" t="s">
        <v>895</v>
      </c>
      <c r="F505" s="11" t="s">
        <v>896</v>
      </c>
      <c r="G505" s="19">
        <v>6480000</v>
      </c>
    </row>
    <row r="506" spans="1:7">
      <c r="A506" s="11" t="s">
        <v>55</v>
      </c>
      <c r="B506" s="11" t="s">
        <v>166</v>
      </c>
      <c r="C506" s="11" t="s">
        <v>25</v>
      </c>
      <c r="D506" s="18">
        <v>45807</v>
      </c>
      <c r="E506" s="11" t="s">
        <v>897</v>
      </c>
      <c r="F506" s="11" t="s">
        <v>649</v>
      </c>
      <c r="G506" s="19">
        <v>560000</v>
      </c>
    </row>
    <row r="507" spans="1:7">
      <c r="A507" s="11" t="s">
        <v>83</v>
      </c>
      <c r="B507" s="11" t="s">
        <v>206</v>
      </c>
      <c r="C507" s="11" t="s">
        <v>25</v>
      </c>
      <c r="D507" s="18">
        <v>45807</v>
      </c>
      <c r="E507" s="11" t="s">
        <v>898</v>
      </c>
      <c r="F507" s="11" t="s">
        <v>661</v>
      </c>
      <c r="G507" s="19">
        <v>300000</v>
      </c>
    </row>
    <row r="508" spans="1:7">
      <c r="A508" s="11" t="s">
        <v>72</v>
      </c>
      <c r="B508" s="11" t="s">
        <v>192</v>
      </c>
      <c r="C508" s="11" t="s">
        <v>25</v>
      </c>
      <c r="D508" s="18">
        <v>45807</v>
      </c>
      <c r="E508" s="11" t="s">
        <v>899</v>
      </c>
      <c r="F508" s="11" t="s">
        <v>661</v>
      </c>
      <c r="G508" s="19">
        <v>150000</v>
      </c>
    </row>
    <row r="509" spans="1:7">
      <c r="A509" s="11" t="s">
        <v>22</v>
      </c>
      <c r="B509" s="11" t="s">
        <v>121</v>
      </c>
      <c r="C509" s="11" t="s">
        <v>122</v>
      </c>
      <c r="D509" s="18">
        <v>45807</v>
      </c>
      <c r="E509" s="11" t="s">
        <v>900</v>
      </c>
      <c r="F509" s="11" t="s">
        <v>901</v>
      </c>
      <c r="G509" s="19">
        <v>775000</v>
      </c>
    </row>
    <row r="510" spans="1:7">
      <c r="A510" s="11" t="s">
        <v>72</v>
      </c>
      <c r="B510" s="11" t="s">
        <v>192</v>
      </c>
      <c r="C510" s="11" t="s">
        <v>25</v>
      </c>
      <c r="D510" s="18">
        <v>45807</v>
      </c>
      <c r="E510" s="11" t="s">
        <v>902</v>
      </c>
      <c r="F510" s="11" t="s">
        <v>903</v>
      </c>
      <c r="G510" s="19">
        <v>90000</v>
      </c>
    </row>
    <row r="511" spans="1:7">
      <c r="A511" s="11" t="s">
        <v>144</v>
      </c>
      <c r="B511" s="11" t="s">
        <v>51</v>
      </c>
      <c r="C511" s="11" t="s">
        <v>25</v>
      </c>
      <c r="D511" s="18">
        <v>45807</v>
      </c>
      <c r="E511" s="11" t="s">
        <v>904</v>
      </c>
      <c r="F511" s="11" t="s">
        <v>905</v>
      </c>
      <c r="G511" s="19">
        <v>120000</v>
      </c>
    </row>
    <row r="512" spans="1:7">
      <c r="A512" s="11" t="s">
        <v>72</v>
      </c>
      <c r="B512" s="11" t="s">
        <v>192</v>
      </c>
      <c r="C512" s="11" t="s">
        <v>25</v>
      </c>
      <c r="D512" s="18">
        <v>45807</v>
      </c>
      <c r="E512" s="11" t="s">
        <v>906</v>
      </c>
      <c r="F512" s="11" t="s">
        <v>907</v>
      </c>
      <c r="G512" s="19">
        <v>260000</v>
      </c>
    </row>
    <row r="513" spans="1:7">
      <c r="A513" s="11" t="s">
        <v>173</v>
      </c>
      <c r="B513" s="11" t="s">
        <v>178</v>
      </c>
      <c r="C513" s="11" t="s">
        <v>13</v>
      </c>
      <c r="D513" s="18">
        <v>45807</v>
      </c>
      <c r="E513" s="11" t="s">
        <v>908</v>
      </c>
      <c r="F513" s="11" t="s">
        <v>389</v>
      </c>
      <c r="G513" s="19">
        <v>6210000</v>
      </c>
    </row>
    <row r="514" spans="1:7">
      <c r="A514" s="11" t="s">
        <v>104</v>
      </c>
      <c r="B514" s="11" t="s">
        <v>108</v>
      </c>
      <c r="C514" s="11" t="s">
        <v>15</v>
      </c>
      <c r="D514" s="18">
        <v>45807</v>
      </c>
      <c r="E514" s="11" t="s">
        <v>909</v>
      </c>
      <c r="F514" s="11" t="s">
        <v>255</v>
      </c>
      <c r="G514" s="19">
        <v>60</v>
      </c>
    </row>
    <row r="515" spans="1:7">
      <c r="A515" s="11" t="s">
        <v>87</v>
      </c>
      <c r="B515" s="11" t="s">
        <v>94</v>
      </c>
      <c r="C515" s="11" t="s">
        <v>15</v>
      </c>
      <c r="D515" s="18">
        <v>45810</v>
      </c>
      <c r="E515" s="11" t="s">
        <v>910</v>
      </c>
      <c r="F515" s="11" t="s">
        <v>911</v>
      </c>
      <c r="G515" s="19">
        <v>6374500</v>
      </c>
    </row>
    <row r="516" spans="1:7">
      <c r="A516" s="11" t="s">
        <v>104</v>
      </c>
      <c r="B516" s="11" t="s">
        <v>105</v>
      </c>
      <c r="C516" s="11" t="s">
        <v>107</v>
      </c>
      <c r="D516" s="18">
        <v>45810</v>
      </c>
      <c r="E516" s="11" t="s">
        <v>912</v>
      </c>
      <c r="F516" s="11" t="s">
        <v>231</v>
      </c>
      <c r="G516" s="19">
        <v>370000</v>
      </c>
    </row>
    <row r="517" spans="1:7">
      <c r="A517" s="11" t="s">
        <v>173</v>
      </c>
      <c r="B517" s="11" t="s">
        <v>176</v>
      </c>
      <c r="C517" s="11" t="s">
        <v>13</v>
      </c>
      <c r="D517" s="18">
        <v>45810</v>
      </c>
      <c r="E517" s="11" t="s">
        <v>913</v>
      </c>
      <c r="F517" s="11" t="s">
        <v>394</v>
      </c>
      <c r="G517" s="19">
        <v>396000</v>
      </c>
    </row>
    <row r="518" spans="1:7">
      <c r="A518" s="11" t="s">
        <v>173</v>
      </c>
      <c r="B518" s="11" t="s">
        <v>175</v>
      </c>
      <c r="C518" s="11" t="s">
        <v>13</v>
      </c>
      <c r="D518" s="18">
        <v>45810</v>
      </c>
      <c r="E518" s="11" t="s">
        <v>913</v>
      </c>
      <c r="F518" s="11" t="s">
        <v>393</v>
      </c>
      <c r="G518" s="19">
        <v>540000</v>
      </c>
    </row>
    <row r="519" spans="1:7">
      <c r="A519" s="11" t="s">
        <v>173</v>
      </c>
      <c r="B519" s="11" t="s">
        <v>179</v>
      </c>
      <c r="C519" s="11" t="s">
        <v>15</v>
      </c>
      <c r="D519" s="18">
        <v>45810</v>
      </c>
      <c r="E519" s="11" t="s">
        <v>914</v>
      </c>
      <c r="F519" s="11" t="s">
        <v>651</v>
      </c>
      <c r="G519" s="19">
        <v>60000</v>
      </c>
    </row>
    <row r="520" spans="1:7">
      <c r="A520" s="11" t="s">
        <v>173</v>
      </c>
      <c r="B520" s="11" t="s">
        <v>179</v>
      </c>
      <c r="C520" s="11" t="s">
        <v>15</v>
      </c>
      <c r="D520" s="18">
        <v>45810</v>
      </c>
      <c r="E520" s="11" t="s">
        <v>915</v>
      </c>
      <c r="F520" s="11" t="s">
        <v>651</v>
      </c>
      <c r="G520" s="19">
        <v>491670</v>
      </c>
    </row>
    <row r="521" spans="1:7">
      <c r="A521" s="11" t="s">
        <v>173</v>
      </c>
      <c r="B521" s="11" t="s">
        <v>177</v>
      </c>
      <c r="C521" s="11" t="s">
        <v>15</v>
      </c>
      <c r="D521" s="18">
        <v>45810</v>
      </c>
      <c r="E521" s="11" t="s">
        <v>916</v>
      </c>
      <c r="F521" s="11" t="s">
        <v>313</v>
      </c>
      <c r="G521" s="19">
        <v>1806000</v>
      </c>
    </row>
    <row r="522" spans="1:7">
      <c r="A522" s="11" t="s">
        <v>87</v>
      </c>
      <c r="B522" s="11" t="s">
        <v>89</v>
      </c>
      <c r="C522" s="11" t="s">
        <v>89</v>
      </c>
      <c r="D522" s="18">
        <v>45810</v>
      </c>
      <c r="E522" s="11" t="s">
        <v>917</v>
      </c>
      <c r="F522" s="11" t="s">
        <v>382</v>
      </c>
      <c r="G522" s="19">
        <v>2226770</v>
      </c>
    </row>
    <row r="523" spans="1:7">
      <c r="A523" s="11" t="s">
        <v>87</v>
      </c>
      <c r="B523" s="11" t="s">
        <v>90</v>
      </c>
      <c r="C523" s="11" t="s">
        <v>90</v>
      </c>
      <c r="D523" s="18">
        <v>45810</v>
      </c>
      <c r="E523" s="11" t="s">
        <v>918</v>
      </c>
      <c r="F523" s="11" t="s">
        <v>380</v>
      </c>
      <c r="G523" s="19">
        <v>4309400</v>
      </c>
    </row>
    <row r="524" spans="1:7">
      <c r="A524" s="11" t="s">
        <v>87</v>
      </c>
      <c r="B524" s="11" t="s">
        <v>89</v>
      </c>
      <c r="C524" s="11" t="s">
        <v>89</v>
      </c>
      <c r="D524" s="18">
        <v>45810</v>
      </c>
      <c r="E524" s="11" t="s">
        <v>919</v>
      </c>
      <c r="F524" s="11" t="s">
        <v>378</v>
      </c>
      <c r="G524" s="19">
        <v>2500</v>
      </c>
    </row>
    <row r="525" spans="1:7">
      <c r="A525" s="11" t="s">
        <v>104</v>
      </c>
      <c r="B525" s="11" t="s">
        <v>108</v>
      </c>
      <c r="C525" s="11" t="s">
        <v>15</v>
      </c>
      <c r="D525" s="18">
        <v>45810</v>
      </c>
      <c r="E525" s="11" t="s">
        <v>920</v>
      </c>
      <c r="F525" s="11" t="s">
        <v>396</v>
      </c>
      <c r="G525" s="19">
        <v>2000</v>
      </c>
    </row>
    <row r="526" spans="1:7">
      <c r="A526" s="11" t="s">
        <v>72</v>
      </c>
      <c r="B526" s="11" t="s">
        <v>192</v>
      </c>
      <c r="C526" s="11" t="s">
        <v>25</v>
      </c>
      <c r="D526" s="18">
        <v>45810</v>
      </c>
      <c r="E526" s="11" t="s">
        <v>921</v>
      </c>
      <c r="F526" s="11" t="s">
        <v>654</v>
      </c>
      <c r="G526" s="19">
        <v>1295000</v>
      </c>
    </row>
    <row r="527" spans="1:7">
      <c r="A527" s="11" t="s">
        <v>144</v>
      </c>
      <c r="B527" s="11" t="s">
        <v>150</v>
      </c>
      <c r="C527" s="11" t="s">
        <v>25</v>
      </c>
      <c r="D527" s="18">
        <v>45810</v>
      </c>
      <c r="E527" s="11" t="s">
        <v>922</v>
      </c>
      <c r="F527" s="11" t="s">
        <v>398</v>
      </c>
      <c r="G527" s="19">
        <v>1470000</v>
      </c>
    </row>
    <row r="528" spans="1:7">
      <c r="A528" s="11" t="s">
        <v>72</v>
      </c>
      <c r="B528" s="11" t="s">
        <v>192</v>
      </c>
      <c r="C528" s="11" t="s">
        <v>25</v>
      </c>
      <c r="D528" s="18">
        <v>45810</v>
      </c>
      <c r="E528" s="11" t="s">
        <v>922</v>
      </c>
      <c r="F528" s="11" t="s">
        <v>399</v>
      </c>
      <c r="G528" s="19">
        <v>2640000</v>
      </c>
    </row>
    <row r="529" spans="1:7">
      <c r="A529" s="11" t="s">
        <v>28</v>
      </c>
      <c r="B529" s="11" t="s">
        <v>129</v>
      </c>
      <c r="C529" s="11" t="s">
        <v>15</v>
      </c>
      <c r="D529" s="18">
        <v>45810</v>
      </c>
      <c r="E529" s="11" t="s">
        <v>923</v>
      </c>
      <c r="F529" s="11" t="s">
        <v>773</v>
      </c>
      <c r="G529" s="19">
        <v>5033820</v>
      </c>
    </row>
    <row r="530" spans="1:7">
      <c r="A530" s="11" t="s">
        <v>28</v>
      </c>
      <c r="B530" s="11" t="s">
        <v>29</v>
      </c>
      <c r="C530" s="11" t="s">
        <v>15</v>
      </c>
      <c r="D530" s="18">
        <v>45812</v>
      </c>
      <c r="E530" s="11" t="s">
        <v>924</v>
      </c>
      <c r="F530" s="11" t="s">
        <v>405</v>
      </c>
      <c r="G530" s="19">
        <v>574200</v>
      </c>
    </row>
    <row r="531" spans="1:7">
      <c r="A531" s="11" t="s">
        <v>104</v>
      </c>
      <c r="B531" s="11" t="s">
        <v>108</v>
      </c>
      <c r="C531" s="11" t="s">
        <v>15</v>
      </c>
      <c r="D531" s="18">
        <v>45812</v>
      </c>
      <c r="E531" s="11" t="s">
        <v>925</v>
      </c>
      <c r="F531" s="11" t="s">
        <v>409</v>
      </c>
      <c r="G531" s="19">
        <v>77000</v>
      </c>
    </row>
    <row r="532" spans="1:7">
      <c r="A532" s="11" t="s">
        <v>28</v>
      </c>
      <c r="B532" s="11" t="s">
        <v>125</v>
      </c>
      <c r="C532" s="11" t="s">
        <v>32</v>
      </c>
      <c r="D532" s="18">
        <v>45812</v>
      </c>
      <c r="E532" s="11" t="s">
        <v>926</v>
      </c>
      <c r="F532" s="11" t="s">
        <v>407</v>
      </c>
      <c r="G532" s="19">
        <v>5055960</v>
      </c>
    </row>
    <row r="533" spans="1:7">
      <c r="A533" s="11" t="s">
        <v>28</v>
      </c>
      <c r="B533" s="11" t="s">
        <v>127</v>
      </c>
      <c r="C533" s="11" t="s">
        <v>32</v>
      </c>
      <c r="D533" s="18">
        <v>45812</v>
      </c>
      <c r="E533" s="11" t="s">
        <v>926</v>
      </c>
      <c r="F533" s="11" t="s">
        <v>407</v>
      </c>
      <c r="G533" s="19">
        <v>488070</v>
      </c>
    </row>
    <row r="534" spans="1:7">
      <c r="A534" s="11" t="s">
        <v>28</v>
      </c>
      <c r="B534" s="11" t="s">
        <v>125</v>
      </c>
      <c r="C534" s="11" t="s">
        <v>32</v>
      </c>
      <c r="D534" s="18">
        <v>45812</v>
      </c>
      <c r="E534" s="11" t="s">
        <v>927</v>
      </c>
      <c r="F534" s="11" t="s">
        <v>687</v>
      </c>
      <c r="G534" s="19">
        <v>93500</v>
      </c>
    </row>
    <row r="535" spans="1:7">
      <c r="A535" s="11" t="s">
        <v>28</v>
      </c>
      <c r="B535" s="11" t="s">
        <v>125</v>
      </c>
      <c r="C535" s="11" t="s">
        <v>32</v>
      </c>
      <c r="D535" s="18">
        <v>45812</v>
      </c>
      <c r="E535" s="11" t="s">
        <v>928</v>
      </c>
      <c r="F535" s="11" t="s">
        <v>411</v>
      </c>
      <c r="G535" s="19">
        <v>13378320</v>
      </c>
    </row>
    <row r="536" spans="1:7">
      <c r="A536" s="11" t="s">
        <v>28</v>
      </c>
      <c r="B536" s="11" t="s">
        <v>125</v>
      </c>
      <c r="C536" s="11" t="s">
        <v>32</v>
      </c>
      <c r="D536" s="18">
        <v>45812</v>
      </c>
      <c r="E536" s="11" t="s">
        <v>929</v>
      </c>
      <c r="F536" s="11" t="s">
        <v>413</v>
      </c>
      <c r="G536" s="19">
        <v>15570620</v>
      </c>
    </row>
    <row r="537" spans="1:7">
      <c r="A537" s="11" t="s">
        <v>28</v>
      </c>
      <c r="B537" s="11" t="s">
        <v>125</v>
      </c>
      <c r="C537" s="11" t="s">
        <v>32</v>
      </c>
      <c r="D537" s="18">
        <v>45812</v>
      </c>
      <c r="E537" s="11" t="s">
        <v>930</v>
      </c>
      <c r="F537" s="11" t="s">
        <v>415</v>
      </c>
      <c r="G537" s="19">
        <v>3643710</v>
      </c>
    </row>
    <row r="538" spans="1:7">
      <c r="A538" s="11" t="s">
        <v>28</v>
      </c>
      <c r="B538" s="11" t="s">
        <v>125</v>
      </c>
      <c r="C538" s="11" t="s">
        <v>32</v>
      </c>
      <c r="D538" s="18">
        <v>45812</v>
      </c>
      <c r="E538" s="11" t="s">
        <v>931</v>
      </c>
      <c r="F538" s="11" t="s">
        <v>419</v>
      </c>
      <c r="G538" s="19">
        <v>3498800</v>
      </c>
    </row>
    <row r="539" spans="1:7">
      <c r="A539" s="11" t="s">
        <v>28</v>
      </c>
      <c r="B539" s="11" t="s">
        <v>125</v>
      </c>
      <c r="C539" s="11" t="s">
        <v>32</v>
      </c>
      <c r="D539" s="18">
        <v>45812</v>
      </c>
      <c r="E539" s="11" t="s">
        <v>932</v>
      </c>
      <c r="F539" s="11" t="s">
        <v>417</v>
      </c>
      <c r="G539" s="19">
        <v>4065700</v>
      </c>
    </row>
    <row r="540" spans="1:7">
      <c r="A540" s="11" t="s">
        <v>144</v>
      </c>
      <c r="B540" s="11" t="s">
        <v>148</v>
      </c>
      <c r="C540" s="11" t="s">
        <v>25</v>
      </c>
      <c r="D540" s="18">
        <v>45813</v>
      </c>
      <c r="E540" s="11" t="s">
        <v>933</v>
      </c>
      <c r="F540" s="11" t="s">
        <v>695</v>
      </c>
      <c r="G540" s="19">
        <v>1029000</v>
      </c>
    </row>
    <row r="541" spans="1:7">
      <c r="A541" s="11" t="s">
        <v>144</v>
      </c>
      <c r="B541" s="11" t="s">
        <v>148</v>
      </c>
      <c r="C541" s="11" t="s">
        <v>25</v>
      </c>
      <c r="D541" s="18">
        <v>45813</v>
      </c>
      <c r="E541" s="11" t="s">
        <v>934</v>
      </c>
      <c r="F541" s="11" t="s">
        <v>673</v>
      </c>
      <c r="G541" s="19">
        <v>805000</v>
      </c>
    </row>
    <row r="542" spans="1:7">
      <c r="A542" s="11" t="s">
        <v>160</v>
      </c>
      <c r="B542" s="11" t="s">
        <v>161</v>
      </c>
      <c r="C542" s="11" t="s">
        <v>25</v>
      </c>
      <c r="D542" s="18">
        <v>45813</v>
      </c>
      <c r="E542" s="11" t="s">
        <v>935</v>
      </c>
      <c r="F542" s="11" t="s">
        <v>443</v>
      </c>
      <c r="G542" s="19">
        <v>672000</v>
      </c>
    </row>
    <row r="543" spans="1:7">
      <c r="A543" s="11" t="s">
        <v>160</v>
      </c>
      <c r="B543" s="11" t="s">
        <v>161</v>
      </c>
      <c r="C543" s="11" t="s">
        <v>25</v>
      </c>
      <c r="D543" s="18">
        <v>45813</v>
      </c>
      <c r="E543" s="11" t="s">
        <v>936</v>
      </c>
      <c r="F543" s="11" t="s">
        <v>448</v>
      </c>
      <c r="G543" s="19">
        <v>1883000</v>
      </c>
    </row>
    <row r="544" spans="1:7">
      <c r="A544" s="11" t="s">
        <v>160</v>
      </c>
      <c r="B544" s="11" t="s">
        <v>161</v>
      </c>
      <c r="C544" s="11" t="s">
        <v>25</v>
      </c>
      <c r="D544" s="18">
        <v>45813</v>
      </c>
      <c r="E544" s="11" t="s">
        <v>937</v>
      </c>
      <c r="F544" s="11" t="s">
        <v>775</v>
      </c>
      <c r="G544" s="19">
        <v>896000</v>
      </c>
    </row>
    <row r="545" spans="1:7">
      <c r="A545" s="11" t="s">
        <v>104</v>
      </c>
      <c r="B545" s="11" t="s">
        <v>108</v>
      </c>
      <c r="C545" s="11" t="s">
        <v>15</v>
      </c>
      <c r="D545" s="18">
        <v>45813</v>
      </c>
      <c r="E545" s="11" t="s">
        <v>938</v>
      </c>
      <c r="F545" s="11" t="s">
        <v>255</v>
      </c>
      <c r="G545" s="19">
        <v>960</v>
      </c>
    </row>
    <row r="546" spans="1:7">
      <c r="A546" s="11" t="s">
        <v>43</v>
      </c>
      <c r="B546" s="11" t="s">
        <v>141</v>
      </c>
      <c r="C546" s="11" t="s">
        <v>25</v>
      </c>
      <c r="D546" s="18">
        <v>45813</v>
      </c>
      <c r="E546" s="11" t="s">
        <v>939</v>
      </c>
      <c r="F546" s="11" t="s">
        <v>940</v>
      </c>
      <c r="G546" s="19">
        <v>860000</v>
      </c>
    </row>
    <row r="547" spans="1:7">
      <c r="A547" s="11" t="s">
        <v>28</v>
      </c>
      <c r="B547" s="11" t="s">
        <v>125</v>
      </c>
      <c r="C547" s="11" t="s">
        <v>32</v>
      </c>
      <c r="D547" s="18">
        <v>45817</v>
      </c>
      <c r="E547" s="11" t="s">
        <v>941</v>
      </c>
      <c r="F547" s="11" t="s">
        <v>942</v>
      </c>
      <c r="G547" s="19">
        <v>19800240</v>
      </c>
    </row>
    <row r="548" spans="1:7">
      <c r="A548" s="11" t="s">
        <v>28</v>
      </c>
      <c r="B548" s="11" t="s">
        <v>29</v>
      </c>
      <c r="C548" s="11" t="s">
        <v>15</v>
      </c>
      <c r="D548" s="18">
        <v>45817</v>
      </c>
      <c r="E548" s="11" t="s">
        <v>943</v>
      </c>
      <c r="F548" s="11" t="s">
        <v>311</v>
      </c>
      <c r="G548" s="19">
        <v>485000</v>
      </c>
    </row>
    <row r="549" spans="1:7">
      <c r="A549" s="11" t="s">
        <v>22</v>
      </c>
      <c r="B549" s="11" t="s">
        <v>119</v>
      </c>
      <c r="C549" s="11" t="s">
        <v>120</v>
      </c>
      <c r="D549" s="18">
        <v>45817</v>
      </c>
      <c r="E549" s="11" t="s">
        <v>944</v>
      </c>
      <c r="F549" s="11" t="s">
        <v>945</v>
      </c>
      <c r="G549" s="19">
        <v>99040</v>
      </c>
    </row>
    <row r="550" spans="1:7">
      <c r="A550" s="11" t="s">
        <v>22</v>
      </c>
      <c r="B550" s="11" t="s">
        <v>119</v>
      </c>
      <c r="C550" s="11" t="s">
        <v>120</v>
      </c>
      <c r="D550" s="18">
        <v>45817</v>
      </c>
      <c r="E550" s="11" t="s">
        <v>946</v>
      </c>
      <c r="F550" s="11" t="s">
        <v>945</v>
      </c>
      <c r="G550" s="19">
        <v>198070</v>
      </c>
    </row>
    <row r="551" spans="1:7">
      <c r="A551" s="11" t="s">
        <v>45</v>
      </c>
      <c r="B551" s="11" t="s">
        <v>143</v>
      </c>
      <c r="C551" s="11" t="s">
        <v>15</v>
      </c>
      <c r="D551" s="18">
        <v>45817</v>
      </c>
      <c r="E551" s="11" t="s">
        <v>947</v>
      </c>
      <c r="F551" s="11" t="s">
        <v>426</v>
      </c>
      <c r="G551" s="19">
        <v>8203680</v>
      </c>
    </row>
    <row r="552" spans="1:7">
      <c r="A552" s="11" t="s">
        <v>173</v>
      </c>
      <c r="B552" s="11" t="s">
        <v>180</v>
      </c>
      <c r="C552" s="11" t="s">
        <v>151</v>
      </c>
      <c r="D552" s="18">
        <v>45818</v>
      </c>
      <c r="E552" s="11" t="s">
        <v>948</v>
      </c>
      <c r="F552" s="11" t="s">
        <v>502</v>
      </c>
      <c r="G552" s="19">
        <v>31920</v>
      </c>
    </row>
    <row r="553" spans="1:7">
      <c r="A553" s="11" t="s">
        <v>72</v>
      </c>
      <c r="B553" s="11" t="s">
        <v>192</v>
      </c>
      <c r="C553" s="11" t="s">
        <v>25</v>
      </c>
      <c r="D553" s="18">
        <v>45818</v>
      </c>
      <c r="E553" s="11" t="s">
        <v>949</v>
      </c>
      <c r="F553" s="11" t="s">
        <v>950</v>
      </c>
      <c r="G553" s="19">
        <v>120000</v>
      </c>
    </row>
    <row r="554" spans="1:7">
      <c r="A554" s="11" t="s">
        <v>22</v>
      </c>
      <c r="B554" s="11" t="s">
        <v>121</v>
      </c>
      <c r="C554" s="11" t="s">
        <v>122</v>
      </c>
      <c r="D554" s="18">
        <v>45818</v>
      </c>
      <c r="E554" s="11" t="s">
        <v>951</v>
      </c>
      <c r="F554" s="11" t="s">
        <v>502</v>
      </c>
      <c r="G554" s="19">
        <v>104420</v>
      </c>
    </row>
    <row r="555" spans="1:7">
      <c r="A555" s="11" t="s">
        <v>22</v>
      </c>
      <c r="B555" s="11" t="s">
        <v>119</v>
      </c>
      <c r="C555" s="11" t="s">
        <v>120</v>
      </c>
      <c r="D555" s="18">
        <v>45818</v>
      </c>
      <c r="E555" s="11" t="s">
        <v>951</v>
      </c>
      <c r="F555" s="11" t="s">
        <v>502</v>
      </c>
      <c r="G555" s="19">
        <v>1570310</v>
      </c>
    </row>
    <row r="556" spans="1:7">
      <c r="A556" s="11" t="s">
        <v>22</v>
      </c>
      <c r="B556" s="11" t="s">
        <v>23</v>
      </c>
      <c r="C556" s="11" t="s">
        <v>24</v>
      </c>
      <c r="D556" s="18">
        <v>45818</v>
      </c>
      <c r="E556" s="11" t="s">
        <v>951</v>
      </c>
      <c r="F556" s="11" t="s">
        <v>502</v>
      </c>
      <c r="G556" s="19">
        <v>1457990</v>
      </c>
    </row>
    <row r="557" spans="1:7">
      <c r="A557" s="11" t="s">
        <v>144</v>
      </c>
      <c r="B557" s="11" t="s">
        <v>147</v>
      </c>
      <c r="C557" s="11" t="s">
        <v>25</v>
      </c>
      <c r="D557" s="18">
        <v>45818</v>
      </c>
      <c r="E557" s="11" t="s">
        <v>951</v>
      </c>
      <c r="F557" s="11" t="s">
        <v>502</v>
      </c>
      <c r="G557" s="19">
        <v>38040</v>
      </c>
    </row>
    <row r="558" spans="1:7">
      <c r="A558" s="11" t="s">
        <v>144</v>
      </c>
      <c r="B558" s="11" t="s">
        <v>150</v>
      </c>
      <c r="C558" s="11" t="s">
        <v>151</v>
      </c>
      <c r="D558" s="18">
        <v>45818</v>
      </c>
      <c r="E558" s="11" t="s">
        <v>951</v>
      </c>
      <c r="F558" s="11" t="s">
        <v>502</v>
      </c>
      <c r="G558" s="19">
        <v>114120</v>
      </c>
    </row>
    <row r="559" spans="1:7">
      <c r="A559" s="11" t="s">
        <v>54</v>
      </c>
      <c r="B559" s="11" t="s">
        <v>158</v>
      </c>
      <c r="C559" s="11" t="s">
        <v>151</v>
      </c>
      <c r="D559" s="18">
        <v>45818</v>
      </c>
      <c r="E559" s="11" t="s">
        <v>951</v>
      </c>
      <c r="F559" s="11" t="s">
        <v>502</v>
      </c>
      <c r="G559" s="19">
        <v>331200</v>
      </c>
    </row>
    <row r="560" spans="1:7">
      <c r="A560" s="11" t="s">
        <v>160</v>
      </c>
      <c r="B560" s="11" t="s">
        <v>161</v>
      </c>
      <c r="C560" s="11" t="s">
        <v>25</v>
      </c>
      <c r="D560" s="18">
        <v>45818</v>
      </c>
      <c r="E560" s="11" t="s">
        <v>951</v>
      </c>
      <c r="F560" s="11" t="s">
        <v>502</v>
      </c>
      <c r="G560" s="19">
        <v>225190</v>
      </c>
    </row>
    <row r="561" spans="1:7">
      <c r="A561" s="11" t="s">
        <v>72</v>
      </c>
      <c r="B561" s="11" t="s">
        <v>192</v>
      </c>
      <c r="C561" s="11" t="s">
        <v>120</v>
      </c>
      <c r="D561" s="18">
        <v>45818</v>
      </c>
      <c r="E561" s="11" t="s">
        <v>951</v>
      </c>
      <c r="F561" s="11" t="s">
        <v>502</v>
      </c>
      <c r="G561" s="19">
        <v>38040</v>
      </c>
    </row>
    <row r="562" spans="1:7">
      <c r="A562" s="11" t="s">
        <v>200</v>
      </c>
      <c r="B562" s="11" t="s">
        <v>201</v>
      </c>
      <c r="C562" s="11" t="s">
        <v>151</v>
      </c>
      <c r="D562" s="18">
        <v>45818</v>
      </c>
      <c r="E562" s="11" t="s">
        <v>951</v>
      </c>
      <c r="F562" s="11" t="s">
        <v>502</v>
      </c>
      <c r="G562" s="19">
        <v>239440</v>
      </c>
    </row>
    <row r="563" spans="1:7">
      <c r="A563" s="11" t="s">
        <v>109</v>
      </c>
      <c r="B563" s="11" t="s">
        <v>215</v>
      </c>
      <c r="C563" s="11" t="s">
        <v>120</v>
      </c>
      <c r="D563" s="18">
        <v>45818</v>
      </c>
      <c r="E563" s="11" t="s">
        <v>951</v>
      </c>
      <c r="F563" s="11" t="s">
        <v>502</v>
      </c>
      <c r="G563" s="19">
        <v>95870</v>
      </c>
    </row>
    <row r="564" spans="1:7">
      <c r="A564" s="11" t="s">
        <v>144</v>
      </c>
      <c r="B564" s="11" t="s">
        <v>146</v>
      </c>
      <c r="C564" s="11" t="s">
        <v>13</v>
      </c>
      <c r="D564" s="18">
        <v>45818</v>
      </c>
      <c r="E564" s="11" t="s">
        <v>952</v>
      </c>
      <c r="F564" s="11" t="s">
        <v>283</v>
      </c>
      <c r="G564" s="19">
        <v>76270</v>
      </c>
    </row>
    <row r="565" spans="1:7">
      <c r="A565" s="11" t="s">
        <v>99</v>
      </c>
      <c r="B565" s="11" t="s">
        <v>99</v>
      </c>
      <c r="C565" s="11" t="s">
        <v>14</v>
      </c>
      <c r="D565" s="18">
        <v>45818</v>
      </c>
      <c r="E565" s="11" t="s">
        <v>953</v>
      </c>
      <c r="F565" s="11" t="s">
        <v>954</v>
      </c>
      <c r="G565" s="19">
        <v>390000</v>
      </c>
    </row>
    <row r="566" spans="1:7">
      <c r="A566" s="11" t="s">
        <v>52</v>
      </c>
      <c r="B566" s="11" t="s">
        <v>53</v>
      </c>
      <c r="C566" s="11" t="s">
        <v>13</v>
      </c>
      <c r="D566" s="18">
        <v>45818</v>
      </c>
      <c r="E566" s="11" t="s">
        <v>955</v>
      </c>
      <c r="F566" s="11" t="s">
        <v>272</v>
      </c>
      <c r="G566" s="19">
        <v>268500</v>
      </c>
    </row>
    <row r="567" spans="1:7">
      <c r="A567" s="11" t="s">
        <v>52</v>
      </c>
      <c r="B567" s="11" t="s">
        <v>53</v>
      </c>
      <c r="C567" s="11" t="s">
        <v>13</v>
      </c>
      <c r="D567" s="18">
        <v>45818</v>
      </c>
      <c r="E567" s="11" t="s">
        <v>956</v>
      </c>
      <c r="F567" s="11" t="s">
        <v>558</v>
      </c>
      <c r="G567" s="19">
        <v>75000</v>
      </c>
    </row>
    <row r="568" spans="1:7">
      <c r="A568" s="11" t="s">
        <v>52</v>
      </c>
      <c r="B568" s="11" t="s">
        <v>156</v>
      </c>
      <c r="C568" s="11" t="s">
        <v>13</v>
      </c>
      <c r="D568" s="18">
        <v>45818</v>
      </c>
      <c r="E568" s="11" t="s">
        <v>957</v>
      </c>
      <c r="F568" s="11" t="s">
        <v>558</v>
      </c>
      <c r="G568" s="19">
        <v>51000</v>
      </c>
    </row>
    <row r="569" spans="1:7">
      <c r="A569" s="11" t="s">
        <v>173</v>
      </c>
      <c r="B569" s="11" t="s">
        <v>180</v>
      </c>
      <c r="C569" s="11" t="s">
        <v>13</v>
      </c>
      <c r="D569" s="18">
        <v>45818</v>
      </c>
      <c r="E569" s="11" t="s">
        <v>958</v>
      </c>
      <c r="F569" s="11" t="s">
        <v>283</v>
      </c>
      <c r="G569" s="19">
        <v>287950</v>
      </c>
    </row>
    <row r="570" spans="1:7">
      <c r="A570" s="11" t="s">
        <v>173</v>
      </c>
      <c r="B570" s="11" t="s">
        <v>180</v>
      </c>
      <c r="C570" s="11" t="s">
        <v>13</v>
      </c>
      <c r="D570" s="18">
        <v>45818</v>
      </c>
      <c r="E570" s="11" t="s">
        <v>959</v>
      </c>
      <c r="F570" s="11" t="s">
        <v>267</v>
      </c>
      <c r="G570" s="19">
        <v>716400</v>
      </c>
    </row>
    <row r="571" spans="1:7">
      <c r="A571" s="11" t="s">
        <v>87</v>
      </c>
      <c r="B571" s="11" t="s">
        <v>95</v>
      </c>
      <c r="C571" s="11" t="s">
        <v>15</v>
      </c>
      <c r="D571" s="18">
        <v>45818</v>
      </c>
      <c r="E571" s="11" t="s">
        <v>960</v>
      </c>
      <c r="F571" s="11" t="s">
        <v>468</v>
      </c>
      <c r="G571" s="19">
        <v>55000</v>
      </c>
    </row>
    <row r="572" spans="1:7">
      <c r="A572" s="11" t="s">
        <v>11</v>
      </c>
      <c r="B572" s="11" t="s">
        <v>115</v>
      </c>
      <c r="C572" s="11" t="s">
        <v>15</v>
      </c>
      <c r="D572" s="18">
        <v>45818</v>
      </c>
      <c r="E572" s="11" t="s">
        <v>961</v>
      </c>
      <c r="F572" s="11" t="s">
        <v>484</v>
      </c>
      <c r="G572" s="19">
        <v>97200</v>
      </c>
    </row>
    <row r="573" spans="1:7">
      <c r="A573" s="11" t="s">
        <v>144</v>
      </c>
      <c r="B573" s="11" t="s">
        <v>146</v>
      </c>
      <c r="C573" s="11" t="s">
        <v>13</v>
      </c>
      <c r="D573" s="18">
        <v>45818</v>
      </c>
      <c r="E573" s="11" t="s">
        <v>962</v>
      </c>
      <c r="F573" s="11" t="s">
        <v>963</v>
      </c>
      <c r="G573" s="19">
        <v>123790</v>
      </c>
    </row>
    <row r="574" spans="1:7">
      <c r="A574" s="11" t="s">
        <v>75</v>
      </c>
      <c r="B574" s="11" t="s">
        <v>76</v>
      </c>
      <c r="C574" s="11" t="s">
        <v>13</v>
      </c>
      <c r="D574" s="18">
        <v>45818</v>
      </c>
      <c r="E574" s="11" t="s">
        <v>964</v>
      </c>
      <c r="F574" s="11" t="s">
        <v>278</v>
      </c>
      <c r="G574" s="19">
        <v>118000</v>
      </c>
    </row>
    <row r="575" spans="1:7">
      <c r="A575" s="11" t="s">
        <v>75</v>
      </c>
      <c r="B575" s="11" t="s">
        <v>76</v>
      </c>
      <c r="C575" s="11" t="s">
        <v>13</v>
      </c>
      <c r="D575" s="18">
        <v>45818</v>
      </c>
      <c r="E575" s="11" t="s">
        <v>965</v>
      </c>
      <c r="F575" s="11" t="s">
        <v>966</v>
      </c>
      <c r="G575" s="19">
        <v>55000</v>
      </c>
    </row>
    <row r="576" spans="1:7">
      <c r="A576" s="11" t="s">
        <v>144</v>
      </c>
      <c r="B576" s="11" t="s">
        <v>146</v>
      </c>
      <c r="C576" s="11" t="s">
        <v>13</v>
      </c>
      <c r="D576" s="18">
        <v>45818</v>
      </c>
      <c r="E576" s="11" t="s">
        <v>967</v>
      </c>
      <c r="F576" s="11" t="s">
        <v>968</v>
      </c>
      <c r="G576" s="19">
        <v>170100</v>
      </c>
    </row>
    <row r="577" spans="1:7">
      <c r="A577" s="11" t="s">
        <v>52</v>
      </c>
      <c r="B577" s="11" t="s">
        <v>53</v>
      </c>
      <c r="C577" s="11" t="s">
        <v>13</v>
      </c>
      <c r="D577" s="18">
        <v>45818</v>
      </c>
      <c r="E577" s="11" t="s">
        <v>969</v>
      </c>
      <c r="F577" s="11" t="s">
        <v>728</v>
      </c>
      <c r="G577" s="19">
        <v>104750</v>
      </c>
    </row>
    <row r="578" spans="1:7">
      <c r="A578" s="11" t="s">
        <v>104</v>
      </c>
      <c r="B578" s="11" t="s">
        <v>108</v>
      </c>
      <c r="C578" s="11" t="s">
        <v>12</v>
      </c>
      <c r="D578" s="18">
        <v>45818</v>
      </c>
      <c r="E578" s="11" t="s">
        <v>970</v>
      </c>
      <c r="F578" s="11" t="s">
        <v>285</v>
      </c>
      <c r="G578" s="19">
        <v>9000</v>
      </c>
    </row>
    <row r="579" spans="1:7">
      <c r="A579" s="11" t="s">
        <v>144</v>
      </c>
      <c r="B579" s="11" t="s">
        <v>146</v>
      </c>
      <c r="C579" s="11" t="s">
        <v>13</v>
      </c>
      <c r="D579" s="18">
        <v>45818</v>
      </c>
      <c r="E579" s="11" t="s">
        <v>971</v>
      </c>
      <c r="F579" s="11" t="s">
        <v>295</v>
      </c>
      <c r="G579" s="19">
        <v>172900</v>
      </c>
    </row>
    <row r="580" spans="1:7">
      <c r="A580" s="11" t="s">
        <v>104</v>
      </c>
      <c r="B580" s="11" t="s">
        <v>108</v>
      </c>
      <c r="C580" s="11" t="s">
        <v>12</v>
      </c>
      <c r="D580" s="18">
        <v>45818</v>
      </c>
      <c r="E580" s="11" t="s">
        <v>972</v>
      </c>
      <c r="F580" s="11" t="s">
        <v>261</v>
      </c>
      <c r="G580" s="19">
        <v>9000</v>
      </c>
    </row>
    <row r="581" spans="1:7">
      <c r="A581" s="11" t="s">
        <v>144</v>
      </c>
      <c r="B581" s="11" t="s">
        <v>146</v>
      </c>
      <c r="C581" s="11" t="s">
        <v>13</v>
      </c>
      <c r="D581" s="18">
        <v>45818</v>
      </c>
      <c r="E581" s="11" t="s">
        <v>973</v>
      </c>
      <c r="F581" s="11" t="s">
        <v>484</v>
      </c>
      <c r="G581" s="19">
        <v>59400</v>
      </c>
    </row>
    <row r="582" spans="1:7">
      <c r="A582" s="11" t="s">
        <v>65</v>
      </c>
      <c r="B582" s="11" t="s">
        <v>186</v>
      </c>
      <c r="C582" s="11" t="s">
        <v>66</v>
      </c>
      <c r="D582" s="18">
        <v>45818</v>
      </c>
      <c r="E582" s="11" t="s">
        <v>974</v>
      </c>
      <c r="F582" s="11" t="s">
        <v>587</v>
      </c>
      <c r="G582" s="19">
        <v>455400</v>
      </c>
    </row>
    <row r="583" spans="1:7">
      <c r="A583" s="11" t="s">
        <v>52</v>
      </c>
      <c r="B583" s="11" t="s">
        <v>53</v>
      </c>
      <c r="C583" s="11" t="s">
        <v>13</v>
      </c>
      <c r="D583" s="18">
        <v>45818</v>
      </c>
      <c r="E583" s="11" t="s">
        <v>975</v>
      </c>
      <c r="F583" s="11" t="s">
        <v>486</v>
      </c>
      <c r="G583" s="19">
        <v>27060</v>
      </c>
    </row>
    <row r="584" spans="1:7">
      <c r="A584" s="11" t="s">
        <v>130</v>
      </c>
      <c r="B584" s="11" t="s">
        <v>135</v>
      </c>
      <c r="C584" s="11" t="s">
        <v>13</v>
      </c>
      <c r="D584" s="18">
        <v>45818</v>
      </c>
      <c r="E584" s="11" t="s">
        <v>976</v>
      </c>
      <c r="F584" s="11" t="s">
        <v>977</v>
      </c>
      <c r="G584" s="19">
        <v>182000</v>
      </c>
    </row>
    <row r="585" spans="1:7">
      <c r="A585" s="11" t="s">
        <v>65</v>
      </c>
      <c r="B585" s="11" t="s">
        <v>67</v>
      </c>
      <c r="C585" s="11" t="s">
        <v>13</v>
      </c>
      <c r="D585" s="18">
        <v>45818</v>
      </c>
      <c r="E585" s="11" t="s">
        <v>978</v>
      </c>
      <c r="F585" s="11" t="s">
        <v>558</v>
      </c>
      <c r="G585" s="19">
        <v>47100</v>
      </c>
    </row>
    <row r="586" spans="1:7">
      <c r="A586" s="11" t="s">
        <v>144</v>
      </c>
      <c r="B586" s="11" t="s">
        <v>146</v>
      </c>
      <c r="C586" s="11" t="s">
        <v>13</v>
      </c>
      <c r="D586" s="18">
        <v>45818</v>
      </c>
      <c r="E586" s="11" t="s">
        <v>979</v>
      </c>
      <c r="F586" s="11" t="s">
        <v>484</v>
      </c>
      <c r="G586" s="19">
        <v>11700</v>
      </c>
    </row>
    <row r="587" spans="1:7">
      <c r="A587" s="11" t="s">
        <v>11</v>
      </c>
      <c r="B587" s="11" t="s">
        <v>115</v>
      </c>
      <c r="C587" s="11" t="s">
        <v>15</v>
      </c>
      <c r="D587" s="18">
        <v>45818</v>
      </c>
      <c r="E587" s="11" t="s">
        <v>980</v>
      </c>
      <c r="F587" s="11" t="s">
        <v>580</v>
      </c>
      <c r="G587" s="19">
        <v>176400</v>
      </c>
    </row>
    <row r="588" spans="1:7">
      <c r="A588" s="11" t="s">
        <v>104</v>
      </c>
      <c r="B588" s="11" t="s">
        <v>108</v>
      </c>
      <c r="C588" s="11" t="s">
        <v>12</v>
      </c>
      <c r="D588" s="18">
        <v>45818</v>
      </c>
      <c r="E588" s="11" t="s">
        <v>981</v>
      </c>
      <c r="F588" s="11" t="s">
        <v>285</v>
      </c>
      <c r="G588" s="19">
        <v>9000</v>
      </c>
    </row>
    <row r="589" spans="1:7">
      <c r="A589" s="11" t="s">
        <v>173</v>
      </c>
      <c r="B589" s="11" t="s">
        <v>180</v>
      </c>
      <c r="C589" s="11" t="s">
        <v>13</v>
      </c>
      <c r="D589" s="18">
        <v>45818</v>
      </c>
      <c r="E589" s="11" t="s">
        <v>982</v>
      </c>
      <c r="F589" s="11" t="s">
        <v>283</v>
      </c>
      <c r="G589" s="19">
        <v>373640</v>
      </c>
    </row>
    <row r="590" spans="1:7">
      <c r="A590" s="11" t="s">
        <v>43</v>
      </c>
      <c r="B590" s="11" t="s">
        <v>139</v>
      </c>
      <c r="C590" s="11" t="s">
        <v>13</v>
      </c>
      <c r="D590" s="18">
        <v>45818</v>
      </c>
      <c r="E590" s="11" t="s">
        <v>983</v>
      </c>
      <c r="F590" s="11" t="s">
        <v>283</v>
      </c>
      <c r="G590" s="19">
        <v>108130</v>
      </c>
    </row>
    <row r="591" spans="1:7">
      <c r="A591" s="11" t="s">
        <v>144</v>
      </c>
      <c r="B591" s="11" t="s">
        <v>146</v>
      </c>
      <c r="C591" s="11" t="s">
        <v>13</v>
      </c>
      <c r="D591" s="18">
        <v>45818</v>
      </c>
      <c r="E591" s="11" t="s">
        <v>984</v>
      </c>
      <c r="F591" s="11" t="s">
        <v>558</v>
      </c>
      <c r="G591" s="19">
        <v>138800</v>
      </c>
    </row>
    <row r="592" spans="1:7">
      <c r="A592" s="11" t="s">
        <v>144</v>
      </c>
      <c r="B592" s="11" t="s">
        <v>146</v>
      </c>
      <c r="C592" s="11" t="s">
        <v>13</v>
      </c>
      <c r="D592" s="18">
        <v>45818</v>
      </c>
      <c r="E592" s="11" t="s">
        <v>985</v>
      </c>
      <c r="F592" s="11" t="s">
        <v>484</v>
      </c>
      <c r="G592" s="19">
        <v>91890</v>
      </c>
    </row>
    <row r="593" spans="1:7">
      <c r="A593" s="11" t="s">
        <v>173</v>
      </c>
      <c r="B593" s="11" t="s">
        <v>180</v>
      </c>
      <c r="C593" s="11" t="s">
        <v>13</v>
      </c>
      <c r="D593" s="18">
        <v>45818</v>
      </c>
      <c r="E593" s="11" t="s">
        <v>986</v>
      </c>
      <c r="F593" s="11" t="s">
        <v>283</v>
      </c>
      <c r="G593" s="19">
        <v>56320</v>
      </c>
    </row>
    <row r="594" spans="1:7">
      <c r="A594" s="11" t="s">
        <v>55</v>
      </c>
      <c r="B594" s="11" t="s">
        <v>165</v>
      </c>
      <c r="C594" s="11" t="s">
        <v>13</v>
      </c>
      <c r="D594" s="18">
        <v>45818</v>
      </c>
      <c r="E594" s="11" t="s">
        <v>987</v>
      </c>
      <c r="F594" s="11" t="s">
        <v>988</v>
      </c>
      <c r="G594" s="19">
        <v>40000</v>
      </c>
    </row>
    <row r="595" spans="1:7">
      <c r="A595" s="11" t="s">
        <v>87</v>
      </c>
      <c r="B595" s="11" t="s">
        <v>95</v>
      </c>
      <c r="C595" s="11" t="s">
        <v>15</v>
      </c>
      <c r="D595" s="18">
        <v>45818</v>
      </c>
      <c r="E595" s="11" t="s">
        <v>989</v>
      </c>
      <c r="F595" s="11" t="s">
        <v>990</v>
      </c>
      <c r="G595" s="19">
        <v>27000</v>
      </c>
    </row>
    <row r="596" spans="1:7">
      <c r="A596" s="11" t="s">
        <v>104</v>
      </c>
      <c r="B596" s="11" t="s">
        <v>214</v>
      </c>
      <c r="C596" s="11" t="s">
        <v>15</v>
      </c>
      <c r="D596" s="18">
        <v>45818</v>
      </c>
      <c r="E596" s="11" t="s">
        <v>991</v>
      </c>
      <c r="F596" s="11" t="s">
        <v>283</v>
      </c>
      <c r="G596" s="19">
        <v>81350</v>
      </c>
    </row>
    <row r="597" spans="1:7">
      <c r="A597" s="11" t="s">
        <v>173</v>
      </c>
      <c r="B597" s="11" t="s">
        <v>180</v>
      </c>
      <c r="C597" s="11" t="s">
        <v>13</v>
      </c>
      <c r="D597" s="18">
        <v>45818</v>
      </c>
      <c r="E597" s="11" t="s">
        <v>992</v>
      </c>
      <c r="F597" s="11" t="s">
        <v>283</v>
      </c>
      <c r="G597" s="19">
        <v>455000</v>
      </c>
    </row>
    <row r="598" spans="1:7">
      <c r="A598" s="11" t="s">
        <v>173</v>
      </c>
      <c r="B598" s="11" t="s">
        <v>180</v>
      </c>
      <c r="C598" s="11" t="s">
        <v>13</v>
      </c>
      <c r="D598" s="18">
        <v>45818</v>
      </c>
      <c r="E598" s="11" t="s">
        <v>993</v>
      </c>
      <c r="F598" s="11" t="s">
        <v>267</v>
      </c>
      <c r="G598" s="19">
        <v>1612700</v>
      </c>
    </row>
    <row r="599" spans="1:7">
      <c r="A599" s="11" t="s">
        <v>144</v>
      </c>
      <c r="B599" s="11" t="s">
        <v>153</v>
      </c>
      <c r="C599" s="11" t="s">
        <v>13</v>
      </c>
      <c r="D599" s="18">
        <v>45818</v>
      </c>
      <c r="E599" s="11" t="s">
        <v>994</v>
      </c>
      <c r="F599" s="11" t="s">
        <v>295</v>
      </c>
      <c r="G599" s="19">
        <v>40000</v>
      </c>
    </row>
    <row r="600" spans="1:7">
      <c r="A600" s="11" t="s">
        <v>28</v>
      </c>
      <c r="B600" s="11" t="s">
        <v>123</v>
      </c>
      <c r="C600" s="11" t="s">
        <v>15</v>
      </c>
      <c r="D600" s="18">
        <v>45818</v>
      </c>
      <c r="E600" s="11" t="s">
        <v>995</v>
      </c>
      <c r="F600" s="11" t="s">
        <v>428</v>
      </c>
      <c r="G600" s="19">
        <v>9006310</v>
      </c>
    </row>
    <row r="601" spans="1:7">
      <c r="A601" s="11" t="s">
        <v>28</v>
      </c>
      <c r="B601" s="11" t="s">
        <v>29</v>
      </c>
      <c r="C601" s="11" t="s">
        <v>15</v>
      </c>
      <c r="D601" s="18">
        <v>45819</v>
      </c>
      <c r="E601" s="11" t="s">
        <v>996</v>
      </c>
      <c r="F601" s="11" t="s">
        <v>847</v>
      </c>
      <c r="G601" s="19">
        <v>88000</v>
      </c>
    </row>
    <row r="602" spans="1:7">
      <c r="A602" s="11" t="s">
        <v>130</v>
      </c>
      <c r="B602" s="11" t="s">
        <v>37</v>
      </c>
      <c r="C602" s="11" t="s">
        <v>25</v>
      </c>
      <c r="D602" s="18">
        <v>45819</v>
      </c>
      <c r="E602" s="11" t="s">
        <v>997</v>
      </c>
      <c r="F602" s="11" t="s">
        <v>998</v>
      </c>
      <c r="G602" s="19">
        <v>600000</v>
      </c>
    </row>
    <row r="603" spans="1:7">
      <c r="A603" s="11" t="s">
        <v>11</v>
      </c>
      <c r="B603" s="11" t="s">
        <v>114</v>
      </c>
      <c r="C603" s="11" t="s">
        <v>14</v>
      </c>
      <c r="D603" s="18">
        <v>45819</v>
      </c>
      <c r="E603" s="11" t="s">
        <v>999</v>
      </c>
      <c r="F603" s="11" t="s">
        <v>1000</v>
      </c>
      <c r="G603" s="19">
        <v>300000</v>
      </c>
    </row>
    <row r="604" spans="1:7">
      <c r="A604" s="11" t="s">
        <v>72</v>
      </c>
      <c r="B604" s="11" t="s">
        <v>192</v>
      </c>
      <c r="C604" s="11" t="s">
        <v>14</v>
      </c>
      <c r="D604" s="18">
        <v>45819</v>
      </c>
      <c r="E604" s="11" t="s">
        <v>1001</v>
      </c>
      <c r="F604" s="11" t="s">
        <v>1002</v>
      </c>
      <c r="G604" s="19">
        <v>244000</v>
      </c>
    </row>
    <row r="605" spans="1:7">
      <c r="A605" s="11" t="s">
        <v>43</v>
      </c>
      <c r="B605" s="11" t="s">
        <v>139</v>
      </c>
      <c r="C605" s="11" t="s">
        <v>13</v>
      </c>
      <c r="D605" s="18">
        <v>45819</v>
      </c>
      <c r="E605" s="11" t="s">
        <v>1003</v>
      </c>
      <c r="F605" s="11" t="s">
        <v>486</v>
      </c>
      <c r="G605" s="19">
        <v>20000</v>
      </c>
    </row>
    <row r="606" spans="1:7">
      <c r="A606" s="11" t="s">
        <v>22</v>
      </c>
      <c r="B606" s="11" t="s">
        <v>119</v>
      </c>
      <c r="C606" s="11" t="s">
        <v>120</v>
      </c>
      <c r="D606" s="18">
        <v>45819</v>
      </c>
      <c r="E606" s="11" t="s">
        <v>1004</v>
      </c>
      <c r="F606" s="11" t="s">
        <v>1005</v>
      </c>
      <c r="G606" s="19">
        <v>60700</v>
      </c>
    </row>
    <row r="607" spans="1:7">
      <c r="A607" s="11" t="s">
        <v>22</v>
      </c>
      <c r="B607" s="11" t="s">
        <v>119</v>
      </c>
      <c r="C607" s="11" t="s">
        <v>120</v>
      </c>
      <c r="D607" s="18">
        <v>45819</v>
      </c>
      <c r="E607" s="11" t="s">
        <v>1006</v>
      </c>
      <c r="F607" s="11" t="s">
        <v>338</v>
      </c>
      <c r="G607" s="19">
        <v>182100</v>
      </c>
    </row>
    <row r="608" spans="1:7">
      <c r="A608" s="11" t="s">
        <v>173</v>
      </c>
      <c r="B608" s="11" t="s">
        <v>180</v>
      </c>
      <c r="C608" s="11" t="s">
        <v>25</v>
      </c>
      <c r="D608" s="18">
        <v>45819</v>
      </c>
      <c r="E608" s="11" t="s">
        <v>1007</v>
      </c>
      <c r="F608" s="11" t="s">
        <v>661</v>
      </c>
      <c r="G608" s="19">
        <v>80000</v>
      </c>
    </row>
    <row r="609" spans="1:7">
      <c r="A609" s="11" t="s">
        <v>65</v>
      </c>
      <c r="B609" s="11" t="s">
        <v>67</v>
      </c>
      <c r="C609" s="11" t="s">
        <v>66</v>
      </c>
      <c r="D609" s="18">
        <v>45819</v>
      </c>
      <c r="E609" s="11" t="s">
        <v>1008</v>
      </c>
      <c r="F609" s="11" t="s">
        <v>783</v>
      </c>
      <c r="G609" s="19">
        <v>15000</v>
      </c>
    </row>
    <row r="610" spans="1:7">
      <c r="A610" s="11" t="s">
        <v>75</v>
      </c>
      <c r="B610" s="11" t="s">
        <v>76</v>
      </c>
      <c r="C610" s="11" t="s">
        <v>15</v>
      </c>
      <c r="D610" s="18">
        <v>45819</v>
      </c>
      <c r="E610" s="11" t="s">
        <v>1009</v>
      </c>
      <c r="F610" s="11" t="s">
        <v>227</v>
      </c>
      <c r="G610" s="19">
        <v>152883</v>
      </c>
    </row>
    <row r="611" spans="1:7">
      <c r="A611" s="11" t="s">
        <v>104</v>
      </c>
      <c r="B611" s="11" t="s">
        <v>214</v>
      </c>
      <c r="C611" s="11" t="s">
        <v>12</v>
      </c>
      <c r="D611" s="18">
        <v>45819</v>
      </c>
      <c r="E611" s="11" t="s">
        <v>1010</v>
      </c>
      <c r="F611" s="11" t="s">
        <v>1011</v>
      </c>
      <c r="G611" s="19">
        <v>1787810</v>
      </c>
    </row>
    <row r="612" spans="1:7">
      <c r="A612" s="11" t="s">
        <v>130</v>
      </c>
      <c r="B612" s="11" t="s">
        <v>36</v>
      </c>
      <c r="C612" s="11" t="s">
        <v>12</v>
      </c>
      <c r="D612" s="18">
        <v>45819</v>
      </c>
      <c r="E612" s="11" t="s">
        <v>1012</v>
      </c>
      <c r="F612" s="11" t="s">
        <v>1013</v>
      </c>
      <c r="G612" s="19">
        <v>108000</v>
      </c>
    </row>
    <row r="613" spans="1:7">
      <c r="A613" s="11" t="s">
        <v>43</v>
      </c>
      <c r="B613" s="11" t="s">
        <v>141</v>
      </c>
      <c r="C613" s="11" t="s">
        <v>13</v>
      </c>
      <c r="D613" s="18">
        <v>45819</v>
      </c>
      <c r="E613" s="11" t="s">
        <v>1014</v>
      </c>
      <c r="F613" s="11" t="s">
        <v>1015</v>
      </c>
      <c r="G613" s="19">
        <v>1032000</v>
      </c>
    </row>
    <row r="614" spans="1:7">
      <c r="A614" s="11" t="s">
        <v>87</v>
      </c>
      <c r="B614" s="11" t="s">
        <v>95</v>
      </c>
      <c r="C614" s="11" t="s">
        <v>15</v>
      </c>
      <c r="D614" s="18">
        <v>45821</v>
      </c>
      <c r="E614" s="11" t="s">
        <v>1016</v>
      </c>
      <c r="F614" s="11" t="s">
        <v>241</v>
      </c>
      <c r="G614" s="19">
        <v>814000</v>
      </c>
    </row>
    <row r="615" spans="1:7">
      <c r="A615" s="11" t="s">
        <v>22</v>
      </c>
      <c r="B615" s="11" t="s">
        <v>119</v>
      </c>
      <c r="C615" s="11" t="s">
        <v>120</v>
      </c>
      <c r="D615" s="18">
        <v>45821</v>
      </c>
      <c r="E615" s="11" t="s">
        <v>1017</v>
      </c>
      <c r="F615" s="11" t="s">
        <v>358</v>
      </c>
      <c r="G615" s="19">
        <v>587330</v>
      </c>
    </row>
    <row r="616" spans="1:7">
      <c r="A616" s="11" t="s">
        <v>87</v>
      </c>
      <c r="B616" s="11" t="s">
        <v>95</v>
      </c>
      <c r="C616" s="11" t="s">
        <v>15</v>
      </c>
      <c r="D616" s="18">
        <v>45821</v>
      </c>
      <c r="E616" s="11" t="s">
        <v>1018</v>
      </c>
      <c r="F616" s="11" t="s">
        <v>1019</v>
      </c>
      <c r="G616" s="19">
        <v>232650</v>
      </c>
    </row>
    <row r="617" spans="1:7">
      <c r="A617" s="11" t="s">
        <v>43</v>
      </c>
      <c r="B617" s="11" t="s">
        <v>139</v>
      </c>
      <c r="C617" s="11" t="s">
        <v>15</v>
      </c>
      <c r="D617" s="18">
        <v>45821</v>
      </c>
      <c r="E617" s="11" t="s">
        <v>1020</v>
      </c>
      <c r="F617" s="11" t="s">
        <v>243</v>
      </c>
      <c r="G617" s="19">
        <v>24750</v>
      </c>
    </row>
    <row r="618" spans="1:7">
      <c r="A618" s="11" t="s">
        <v>87</v>
      </c>
      <c r="B618" s="11" t="s">
        <v>95</v>
      </c>
      <c r="C618" s="11" t="s">
        <v>15</v>
      </c>
      <c r="D618" s="18">
        <v>45821</v>
      </c>
      <c r="E618" s="11" t="s">
        <v>1021</v>
      </c>
      <c r="F618" s="11" t="s">
        <v>1022</v>
      </c>
      <c r="G618" s="19">
        <v>264000</v>
      </c>
    </row>
    <row r="619" spans="1:7">
      <c r="A619" s="11" t="s">
        <v>130</v>
      </c>
      <c r="B619" s="11" t="s">
        <v>36</v>
      </c>
      <c r="C619" s="11" t="s">
        <v>12</v>
      </c>
      <c r="D619" s="18">
        <v>45824</v>
      </c>
      <c r="E619" s="11" t="s">
        <v>1023</v>
      </c>
      <c r="F619" s="11" t="s">
        <v>1024</v>
      </c>
      <c r="G619" s="19">
        <v>108000</v>
      </c>
    </row>
    <row r="620" spans="1:7">
      <c r="A620" s="11" t="s">
        <v>87</v>
      </c>
      <c r="B620" s="11" t="s">
        <v>95</v>
      </c>
      <c r="C620" s="11" t="s">
        <v>15</v>
      </c>
      <c r="D620" s="18">
        <v>45824</v>
      </c>
      <c r="E620" s="11" t="s">
        <v>1025</v>
      </c>
      <c r="F620" s="11" t="s">
        <v>1026</v>
      </c>
      <c r="G620" s="19">
        <v>142120</v>
      </c>
    </row>
    <row r="621" spans="1:7">
      <c r="A621" s="11" t="s">
        <v>104</v>
      </c>
      <c r="B621" s="11" t="s">
        <v>108</v>
      </c>
      <c r="C621" s="11" t="s">
        <v>15</v>
      </c>
      <c r="D621" s="18">
        <v>45824</v>
      </c>
      <c r="E621" s="11" t="s">
        <v>1027</v>
      </c>
      <c r="F621" s="11" t="s">
        <v>255</v>
      </c>
      <c r="G621" s="19">
        <v>180</v>
      </c>
    </row>
    <row r="622" spans="1:7">
      <c r="A622" s="11" t="s">
        <v>104</v>
      </c>
      <c r="B622" s="11" t="s">
        <v>108</v>
      </c>
      <c r="C622" s="11" t="s">
        <v>15</v>
      </c>
      <c r="D622" s="18">
        <v>45824</v>
      </c>
      <c r="E622" s="11" t="s">
        <v>1028</v>
      </c>
      <c r="F622" s="11" t="s">
        <v>255</v>
      </c>
      <c r="G622" s="19">
        <v>33000</v>
      </c>
    </row>
    <row r="623" spans="1:7">
      <c r="A623" s="11" t="s">
        <v>54</v>
      </c>
      <c r="B623" s="11" t="s">
        <v>158</v>
      </c>
      <c r="C623" s="11" t="s">
        <v>120</v>
      </c>
      <c r="D623" s="18">
        <v>45825</v>
      </c>
      <c r="E623" s="11" t="s">
        <v>1029</v>
      </c>
      <c r="F623" s="11" t="s">
        <v>249</v>
      </c>
      <c r="G623" s="19">
        <v>2416000</v>
      </c>
    </row>
    <row r="624" spans="1:7">
      <c r="A624" s="11" t="s">
        <v>54</v>
      </c>
      <c r="B624" s="11" t="s">
        <v>159</v>
      </c>
      <c r="C624" s="11" t="s">
        <v>120</v>
      </c>
      <c r="D624" s="18">
        <v>45825</v>
      </c>
      <c r="E624" s="11" t="s">
        <v>1029</v>
      </c>
      <c r="F624" s="11" t="s">
        <v>249</v>
      </c>
      <c r="G624" s="19">
        <v>80000</v>
      </c>
    </row>
    <row r="625" spans="1:7">
      <c r="A625" s="11" t="s">
        <v>22</v>
      </c>
      <c r="B625" s="11" t="s">
        <v>119</v>
      </c>
      <c r="C625" s="11" t="s">
        <v>120</v>
      </c>
      <c r="D625" s="18">
        <v>45825</v>
      </c>
      <c r="E625" s="11" t="s">
        <v>1030</v>
      </c>
      <c r="F625" s="11" t="s">
        <v>338</v>
      </c>
      <c r="G625" s="19">
        <v>182100</v>
      </c>
    </row>
    <row r="626" spans="1:7">
      <c r="A626" s="11" t="s">
        <v>104</v>
      </c>
      <c r="B626" s="11" t="s">
        <v>108</v>
      </c>
      <c r="C626" s="11" t="s">
        <v>15</v>
      </c>
      <c r="D626" s="18">
        <v>45825</v>
      </c>
      <c r="E626" s="11" t="s">
        <v>1031</v>
      </c>
      <c r="F626" s="11" t="s">
        <v>530</v>
      </c>
      <c r="G626" s="19">
        <v>70000</v>
      </c>
    </row>
    <row r="627" spans="1:7">
      <c r="A627" s="11" t="s">
        <v>75</v>
      </c>
      <c r="B627" s="11" t="s">
        <v>76</v>
      </c>
      <c r="C627" s="11" t="s">
        <v>15</v>
      </c>
      <c r="D627" s="18">
        <v>45826</v>
      </c>
      <c r="E627" s="11" t="s">
        <v>1032</v>
      </c>
      <c r="F627" s="11" t="s">
        <v>530</v>
      </c>
      <c r="G627" s="19">
        <v>182380</v>
      </c>
    </row>
    <row r="628" spans="1:7">
      <c r="A628" s="11" t="s">
        <v>130</v>
      </c>
      <c r="B628" s="11" t="s">
        <v>36</v>
      </c>
      <c r="C628" s="11" t="s">
        <v>34</v>
      </c>
      <c r="D628" s="18">
        <v>45827</v>
      </c>
      <c r="E628" s="11" t="s">
        <v>1033</v>
      </c>
      <c r="F628" s="11" t="s">
        <v>306</v>
      </c>
      <c r="G628" s="19">
        <v>392980</v>
      </c>
    </row>
    <row r="629" spans="1:7">
      <c r="A629" s="11" t="s">
        <v>74</v>
      </c>
      <c r="B629" s="11" t="s">
        <v>193</v>
      </c>
      <c r="C629" s="11" t="s">
        <v>15</v>
      </c>
      <c r="D629" s="18">
        <v>45827</v>
      </c>
      <c r="E629" s="11" t="s">
        <v>1034</v>
      </c>
      <c r="F629" s="11" t="s">
        <v>535</v>
      </c>
      <c r="G629" s="19">
        <v>132000</v>
      </c>
    </row>
    <row r="630" spans="1:7">
      <c r="A630" s="11" t="s">
        <v>130</v>
      </c>
      <c r="B630" s="11" t="s">
        <v>35</v>
      </c>
      <c r="C630" s="11" t="s">
        <v>34</v>
      </c>
      <c r="D630" s="18">
        <v>45827</v>
      </c>
      <c r="E630" s="11" t="s">
        <v>1035</v>
      </c>
      <c r="F630" s="11" t="s">
        <v>615</v>
      </c>
      <c r="G630" s="19">
        <v>21340</v>
      </c>
    </row>
    <row r="631" spans="1:7">
      <c r="A631" s="11" t="s">
        <v>43</v>
      </c>
      <c r="B631" s="11" t="s">
        <v>139</v>
      </c>
      <c r="C631" s="11" t="s">
        <v>44</v>
      </c>
      <c r="D631" s="18">
        <v>45827</v>
      </c>
      <c r="E631" s="11" t="s">
        <v>1036</v>
      </c>
      <c r="F631" s="11" t="s">
        <v>435</v>
      </c>
      <c r="G631" s="19">
        <v>20000</v>
      </c>
    </row>
    <row r="632" spans="1:7">
      <c r="A632" s="11" t="s">
        <v>104</v>
      </c>
      <c r="B632" s="11" t="s">
        <v>108</v>
      </c>
      <c r="C632" s="11" t="s">
        <v>44</v>
      </c>
      <c r="D632" s="18">
        <v>45827</v>
      </c>
      <c r="E632" s="11" t="s">
        <v>1036</v>
      </c>
      <c r="F632" s="11" t="s">
        <v>1037</v>
      </c>
      <c r="G632" s="19">
        <v>510000</v>
      </c>
    </row>
    <row r="633" spans="1:7">
      <c r="A633" s="11" t="s">
        <v>55</v>
      </c>
      <c r="B633" s="11" t="s">
        <v>165</v>
      </c>
      <c r="C633" s="11" t="s">
        <v>44</v>
      </c>
      <c r="D633" s="18">
        <v>45827</v>
      </c>
      <c r="E633" s="11" t="s">
        <v>1036</v>
      </c>
      <c r="F633" s="11" t="s">
        <v>1038</v>
      </c>
      <c r="G633" s="19">
        <v>50000</v>
      </c>
    </row>
    <row r="634" spans="1:7">
      <c r="A634" s="11" t="s">
        <v>104</v>
      </c>
      <c r="B634" s="11" t="s">
        <v>108</v>
      </c>
      <c r="C634" s="11" t="s">
        <v>44</v>
      </c>
      <c r="D634" s="18">
        <v>45827</v>
      </c>
      <c r="E634" s="11" t="s">
        <v>1039</v>
      </c>
      <c r="F634" s="11" t="s">
        <v>1040</v>
      </c>
      <c r="G634" s="19">
        <v>12500</v>
      </c>
    </row>
    <row r="635" spans="1:7">
      <c r="A635" s="11" t="s">
        <v>38</v>
      </c>
      <c r="B635" s="11" t="s">
        <v>40</v>
      </c>
      <c r="C635" s="11" t="s">
        <v>15</v>
      </c>
      <c r="D635" s="18">
        <v>45827</v>
      </c>
      <c r="E635" s="11" t="s">
        <v>1041</v>
      </c>
      <c r="F635" s="11" t="s">
        <v>510</v>
      </c>
      <c r="G635" s="19">
        <v>250000</v>
      </c>
    </row>
    <row r="636" spans="1:7">
      <c r="A636" s="11" t="s">
        <v>28</v>
      </c>
      <c r="B636" s="11" t="s">
        <v>127</v>
      </c>
      <c r="C636" s="11" t="s">
        <v>15</v>
      </c>
      <c r="D636" s="18">
        <v>45827</v>
      </c>
      <c r="E636" s="11" t="s">
        <v>1042</v>
      </c>
      <c r="F636" s="11" t="s">
        <v>319</v>
      </c>
      <c r="G636" s="19">
        <v>83600</v>
      </c>
    </row>
    <row r="637" spans="1:7">
      <c r="A637" s="11" t="s">
        <v>17</v>
      </c>
      <c r="B637" s="11" t="s">
        <v>18</v>
      </c>
      <c r="C637" s="11" t="s">
        <v>19</v>
      </c>
      <c r="D637" s="18">
        <v>45827</v>
      </c>
      <c r="E637" s="11" t="s">
        <v>1043</v>
      </c>
      <c r="F637" s="11" t="s">
        <v>433</v>
      </c>
      <c r="G637" s="19">
        <v>6230000</v>
      </c>
    </row>
    <row r="638" spans="1:7">
      <c r="A638" s="11" t="s">
        <v>173</v>
      </c>
      <c r="B638" s="11" t="s">
        <v>183</v>
      </c>
      <c r="C638" s="11" t="s">
        <v>12</v>
      </c>
      <c r="D638" s="18">
        <v>45827</v>
      </c>
      <c r="E638" s="11" t="s">
        <v>1043</v>
      </c>
      <c r="F638" s="11" t="s">
        <v>433</v>
      </c>
      <c r="G638" s="19">
        <v>180000</v>
      </c>
    </row>
    <row r="639" spans="1:7">
      <c r="A639" s="11" t="s">
        <v>62</v>
      </c>
      <c r="B639" s="11" t="s">
        <v>171</v>
      </c>
      <c r="C639" s="11" t="s">
        <v>13</v>
      </c>
      <c r="D639" s="18">
        <v>45828</v>
      </c>
      <c r="E639" s="11" t="s">
        <v>1044</v>
      </c>
      <c r="F639" s="11" t="s">
        <v>538</v>
      </c>
      <c r="G639" s="19">
        <v>13938380</v>
      </c>
    </row>
    <row r="640" spans="1:7">
      <c r="A640" s="11" t="s">
        <v>173</v>
      </c>
      <c r="B640" s="11" t="s">
        <v>182</v>
      </c>
      <c r="C640" s="11" t="s">
        <v>13</v>
      </c>
      <c r="D640" s="18">
        <v>45828</v>
      </c>
      <c r="E640" s="11" t="s">
        <v>1044</v>
      </c>
      <c r="F640" s="11" t="s">
        <v>538</v>
      </c>
      <c r="G640" s="19">
        <v>1480620</v>
      </c>
    </row>
    <row r="641" spans="1:7">
      <c r="A641" s="11" t="s">
        <v>173</v>
      </c>
      <c r="B641" s="11" t="s">
        <v>182</v>
      </c>
      <c r="C641" s="11" t="s">
        <v>13</v>
      </c>
      <c r="D641" s="18">
        <v>45828</v>
      </c>
      <c r="E641" s="11" t="s">
        <v>1045</v>
      </c>
      <c r="F641" s="11" t="s">
        <v>538</v>
      </c>
      <c r="G641" s="19">
        <v>1272000</v>
      </c>
    </row>
    <row r="642" spans="1:7">
      <c r="A642" s="11" t="s">
        <v>62</v>
      </c>
      <c r="B642" s="11" t="s">
        <v>171</v>
      </c>
      <c r="C642" s="11" t="s">
        <v>13</v>
      </c>
      <c r="D642" s="18">
        <v>45828</v>
      </c>
      <c r="E642" s="11" t="s">
        <v>1045</v>
      </c>
      <c r="F642" s="11" t="s">
        <v>538</v>
      </c>
      <c r="G642" s="19">
        <v>20480000</v>
      </c>
    </row>
    <row r="643" spans="1:7">
      <c r="A643" s="11" t="s">
        <v>87</v>
      </c>
      <c r="B643" s="11" t="s">
        <v>94</v>
      </c>
      <c r="C643" s="11" t="s">
        <v>15</v>
      </c>
      <c r="D643" s="18">
        <v>45828</v>
      </c>
      <c r="E643" s="11" t="s">
        <v>1046</v>
      </c>
      <c r="F643" s="11" t="s">
        <v>257</v>
      </c>
      <c r="G643" s="19">
        <v>407000</v>
      </c>
    </row>
    <row r="644" spans="1:7">
      <c r="A644" s="11" t="s">
        <v>87</v>
      </c>
      <c r="B644" s="11" t="s">
        <v>94</v>
      </c>
      <c r="C644" s="11" t="s">
        <v>15</v>
      </c>
      <c r="D644" s="18">
        <v>45831</v>
      </c>
      <c r="E644" s="11" t="s">
        <v>1047</v>
      </c>
      <c r="F644" s="11" t="s">
        <v>765</v>
      </c>
      <c r="G644" s="19">
        <v>1000000</v>
      </c>
    </row>
    <row r="645" spans="1:7">
      <c r="A645" s="11" t="s">
        <v>22</v>
      </c>
      <c r="B645" s="11" t="s">
        <v>119</v>
      </c>
      <c r="C645" s="11" t="s">
        <v>120</v>
      </c>
      <c r="D645" s="18">
        <v>45831</v>
      </c>
      <c r="E645" s="11" t="s">
        <v>1048</v>
      </c>
      <c r="F645" s="11" t="s">
        <v>1049</v>
      </c>
      <c r="G645" s="19">
        <v>61180</v>
      </c>
    </row>
    <row r="646" spans="1:7">
      <c r="A646" s="11" t="s">
        <v>104</v>
      </c>
      <c r="B646" s="11" t="s">
        <v>108</v>
      </c>
      <c r="C646" s="11" t="s">
        <v>44</v>
      </c>
      <c r="D646" s="18">
        <v>45831</v>
      </c>
      <c r="E646" s="11" t="s">
        <v>1050</v>
      </c>
      <c r="F646" s="11" t="s">
        <v>785</v>
      </c>
      <c r="G646" s="19">
        <v>2500</v>
      </c>
    </row>
    <row r="647" spans="1:7">
      <c r="A647" s="11" t="s">
        <v>75</v>
      </c>
      <c r="B647" s="11" t="s">
        <v>195</v>
      </c>
      <c r="C647" s="11" t="s">
        <v>15</v>
      </c>
      <c r="D647" s="18">
        <v>45831</v>
      </c>
      <c r="E647" s="11" t="s">
        <v>1051</v>
      </c>
      <c r="F647" s="11" t="s">
        <v>225</v>
      </c>
      <c r="G647" s="19">
        <v>297000</v>
      </c>
    </row>
    <row r="648" spans="1:7">
      <c r="A648" s="11" t="s">
        <v>87</v>
      </c>
      <c r="B648" s="11" t="s">
        <v>94</v>
      </c>
      <c r="C648" s="11" t="s">
        <v>15</v>
      </c>
      <c r="D648" s="18">
        <v>45831</v>
      </c>
      <c r="E648" s="11" t="s">
        <v>1052</v>
      </c>
      <c r="F648" s="11" t="s">
        <v>308</v>
      </c>
      <c r="G648" s="19">
        <v>42350</v>
      </c>
    </row>
    <row r="649" spans="1:7">
      <c r="A649" s="11" t="s">
        <v>87</v>
      </c>
      <c r="B649" s="11" t="s">
        <v>88</v>
      </c>
      <c r="C649" s="11" t="s">
        <v>92</v>
      </c>
      <c r="D649" s="18">
        <v>45831</v>
      </c>
      <c r="E649" s="11" t="s">
        <v>1053</v>
      </c>
      <c r="F649" s="11" t="s">
        <v>821</v>
      </c>
      <c r="G649" s="19">
        <v>4040</v>
      </c>
    </row>
    <row r="650" spans="1:7">
      <c r="A650" s="11" t="s">
        <v>87</v>
      </c>
      <c r="B650" s="11" t="s">
        <v>96</v>
      </c>
      <c r="C650" s="11" t="s">
        <v>15</v>
      </c>
      <c r="D650" s="18">
        <v>45831</v>
      </c>
      <c r="E650" s="11" t="s">
        <v>1054</v>
      </c>
      <c r="F650" s="11" t="s">
        <v>1055</v>
      </c>
      <c r="G650" s="19">
        <v>666140</v>
      </c>
    </row>
    <row r="651" spans="1:7">
      <c r="A651" s="11" t="s">
        <v>173</v>
      </c>
      <c r="B651" s="11" t="s">
        <v>184</v>
      </c>
      <c r="C651" s="11" t="s">
        <v>15</v>
      </c>
      <c r="D651" s="18">
        <v>45831</v>
      </c>
      <c r="E651" s="11" t="s">
        <v>1056</v>
      </c>
      <c r="F651" s="11" t="s">
        <v>283</v>
      </c>
      <c r="G651" s="19">
        <v>64390</v>
      </c>
    </row>
    <row r="652" spans="1:7">
      <c r="A652" s="11" t="s">
        <v>173</v>
      </c>
      <c r="B652" s="11" t="s">
        <v>180</v>
      </c>
      <c r="C652" s="11" t="s">
        <v>13</v>
      </c>
      <c r="D652" s="18">
        <v>45831</v>
      </c>
      <c r="E652" s="11" t="s">
        <v>1057</v>
      </c>
      <c r="F652" s="11" t="s">
        <v>283</v>
      </c>
      <c r="G652" s="19">
        <v>270540</v>
      </c>
    </row>
    <row r="653" spans="1:7">
      <c r="A653" s="11" t="s">
        <v>101</v>
      </c>
      <c r="B653" s="11" t="s">
        <v>211</v>
      </c>
      <c r="C653" s="11" t="s">
        <v>15</v>
      </c>
      <c r="D653" s="18">
        <v>45831</v>
      </c>
      <c r="E653" s="11" t="s">
        <v>1058</v>
      </c>
      <c r="F653" s="11" t="s">
        <v>283</v>
      </c>
      <c r="G653" s="19">
        <v>376560</v>
      </c>
    </row>
    <row r="654" spans="1:7">
      <c r="A654" s="11" t="s">
        <v>52</v>
      </c>
      <c r="B654" s="11" t="s">
        <v>53</v>
      </c>
      <c r="C654" s="11" t="s">
        <v>13</v>
      </c>
      <c r="D654" s="18">
        <v>45831</v>
      </c>
      <c r="E654" s="11" t="s">
        <v>1059</v>
      </c>
      <c r="F654" s="11" t="s">
        <v>1060</v>
      </c>
      <c r="G654" s="19">
        <v>1791000</v>
      </c>
    </row>
    <row r="655" spans="1:7">
      <c r="A655" s="11" t="s">
        <v>11</v>
      </c>
      <c r="B655" s="11" t="s">
        <v>114</v>
      </c>
      <c r="C655" s="11" t="s">
        <v>14</v>
      </c>
      <c r="D655" s="18">
        <v>45831</v>
      </c>
      <c r="E655" s="11" t="s">
        <v>1061</v>
      </c>
      <c r="F655" s="11" t="s">
        <v>1062</v>
      </c>
      <c r="G655" s="19">
        <v>210000</v>
      </c>
    </row>
    <row r="656" spans="1:7">
      <c r="A656" s="11" t="s">
        <v>104</v>
      </c>
      <c r="B656" s="11" t="s">
        <v>108</v>
      </c>
      <c r="C656" s="11" t="s">
        <v>12</v>
      </c>
      <c r="D656" s="18">
        <v>45831</v>
      </c>
      <c r="E656" s="11" t="s">
        <v>1063</v>
      </c>
      <c r="F656" s="11" t="s">
        <v>285</v>
      </c>
      <c r="G656" s="19">
        <v>9000</v>
      </c>
    </row>
    <row r="657" spans="1:7">
      <c r="A657" s="11" t="s">
        <v>144</v>
      </c>
      <c r="B657" s="11" t="s">
        <v>146</v>
      </c>
      <c r="C657" s="11" t="s">
        <v>13</v>
      </c>
      <c r="D657" s="18">
        <v>45831</v>
      </c>
      <c r="E657" s="11" t="s">
        <v>1064</v>
      </c>
      <c r="F657" s="11" t="s">
        <v>295</v>
      </c>
      <c r="G657" s="19">
        <v>120000</v>
      </c>
    </row>
    <row r="658" spans="1:7">
      <c r="A658" s="11" t="s">
        <v>173</v>
      </c>
      <c r="B658" s="11" t="s">
        <v>180</v>
      </c>
      <c r="C658" s="11" t="s">
        <v>13</v>
      </c>
      <c r="D658" s="18">
        <v>45831</v>
      </c>
      <c r="E658" s="11" t="s">
        <v>1065</v>
      </c>
      <c r="F658" s="11" t="s">
        <v>558</v>
      </c>
      <c r="G658" s="19">
        <v>273200</v>
      </c>
    </row>
    <row r="659" spans="1:7">
      <c r="A659" s="11" t="s">
        <v>104</v>
      </c>
      <c r="B659" s="11" t="s">
        <v>108</v>
      </c>
      <c r="C659" s="11" t="s">
        <v>12</v>
      </c>
      <c r="D659" s="18">
        <v>45831</v>
      </c>
      <c r="E659" s="11" t="s">
        <v>1066</v>
      </c>
      <c r="F659" s="11" t="s">
        <v>285</v>
      </c>
      <c r="G659" s="19">
        <v>9000</v>
      </c>
    </row>
    <row r="660" spans="1:7">
      <c r="A660" s="11" t="s">
        <v>104</v>
      </c>
      <c r="B660" s="11" t="s">
        <v>108</v>
      </c>
      <c r="C660" s="11" t="s">
        <v>14</v>
      </c>
      <c r="D660" s="18">
        <v>45831</v>
      </c>
      <c r="E660" s="11" t="s">
        <v>1067</v>
      </c>
      <c r="F660" s="11" t="s">
        <v>486</v>
      </c>
      <c r="G660" s="19">
        <v>62400</v>
      </c>
    </row>
    <row r="661" spans="1:7">
      <c r="A661" s="11" t="s">
        <v>173</v>
      </c>
      <c r="B661" s="11" t="s">
        <v>180</v>
      </c>
      <c r="C661" s="11" t="s">
        <v>13</v>
      </c>
      <c r="D661" s="18">
        <v>45831</v>
      </c>
      <c r="E661" s="11" t="s">
        <v>1068</v>
      </c>
      <c r="F661" s="11" t="s">
        <v>1069</v>
      </c>
      <c r="G661" s="19">
        <v>157500</v>
      </c>
    </row>
    <row r="662" spans="1:7">
      <c r="A662" s="11" t="s">
        <v>173</v>
      </c>
      <c r="B662" s="11" t="s">
        <v>180</v>
      </c>
      <c r="C662" s="11" t="s">
        <v>13</v>
      </c>
      <c r="D662" s="18">
        <v>45831</v>
      </c>
      <c r="E662" s="11" t="s">
        <v>1070</v>
      </c>
      <c r="F662" s="11" t="s">
        <v>267</v>
      </c>
      <c r="G662" s="19">
        <v>96800</v>
      </c>
    </row>
    <row r="663" spans="1:7">
      <c r="A663" s="11" t="s">
        <v>173</v>
      </c>
      <c r="B663" s="11" t="s">
        <v>180</v>
      </c>
      <c r="C663" s="11" t="s">
        <v>13</v>
      </c>
      <c r="D663" s="18">
        <v>45831</v>
      </c>
      <c r="E663" s="11" t="s">
        <v>1071</v>
      </c>
      <c r="F663" s="11" t="s">
        <v>267</v>
      </c>
      <c r="G663" s="19">
        <v>671000</v>
      </c>
    </row>
    <row r="664" spans="1:7">
      <c r="A664" s="11" t="s">
        <v>144</v>
      </c>
      <c r="B664" s="11" t="s">
        <v>146</v>
      </c>
      <c r="C664" s="11" t="s">
        <v>13</v>
      </c>
      <c r="D664" s="18">
        <v>45831</v>
      </c>
      <c r="E664" s="11" t="s">
        <v>1072</v>
      </c>
      <c r="F664" s="11" t="s">
        <v>295</v>
      </c>
      <c r="G664" s="19">
        <v>54040</v>
      </c>
    </row>
    <row r="665" spans="1:7">
      <c r="A665" s="11" t="s">
        <v>52</v>
      </c>
      <c r="B665" s="11" t="s">
        <v>53</v>
      </c>
      <c r="C665" s="11" t="s">
        <v>13</v>
      </c>
      <c r="D665" s="18">
        <v>45831</v>
      </c>
      <c r="E665" s="11" t="s">
        <v>1073</v>
      </c>
      <c r="F665" s="11" t="s">
        <v>272</v>
      </c>
      <c r="G665" s="19">
        <v>80000</v>
      </c>
    </row>
    <row r="666" spans="1:7">
      <c r="A666" s="11" t="s">
        <v>52</v>
      </c>
      <c r="B666" s="11" t="s">
        <v>53</v>
      </c>
      <c r="C666" s="11" t="s">
        <v>13</v>
      </c>
      <c r="D666" s="18">
        <v>45831</v>
      </c>
      <c r="E666" s="11" t="s">
        <v>1074</v>
      </c>
      <c r="F666" s="11" t="s">
        <v>272</v>
      </c>
      <c r="G666" s="19">
        <v>65500</v>
      </c>
    </row>
    <row r="667" spans="1:7">
      <c r="A667" s="11" t="s">
        <v>104</v>
      </c>
      <c r="B667" s="11" t="s">
        <v>108</v>
      </c>
      <c r="C667" s="11" t="s">
        <v>12</v>
      </c>
      <c r="D667" s="18">
        <v>45831</v>
      </c>
      <c r="E667" s="11" t="s">
        <v>1075</v>
      </c>
      <c r="F667" s="11" t="s">
        <v>285</v>
      </c>
      <c r="G667" s="19">
        <v>9000</v>
      </c>
    </row>
    <row r="668" spans="1:7">
      <c r="A668" s="11" t="s">
        <v>144</v>
      </c>
      <c r="B668" s="11" t="s">
        <v>146</v>
      </c>
      <c r="C668" s="11" t="s">
        <v>13</v>
      </c>
      <c r="D668" s="18">
        <v>45831</v>
      </c>
      <c r="E668" s="11" t="s">
        <v>1076</v>
      </c>
      <c r="F668" s="11" t="s">
        <v>295</v>
      </c>
      <c r="G668" s="19">
        <v>52600</v>
      </c>
    </row>
    <row r="669" spans="1:7">
      <c r="A669" s="11" t="s">
        <v>144</v>
      </c>
      <c r="B669" s="11" t="s">
        <v>146</v>
      </c>
      <c r="C669" s="11" t="s">
        <v>13</v>
      </c>
      <c r="D669" s="18">
        <v>45831</v>
      </c>
      <c r="E669" s="11" t="s">
        <v>1077</v>
      </c>
      <c r="F669" s="11" t="s">
        <v>283</v>
      </c>
      <c r="G669" s="19">
        <v>36360</v>
      </c>
    </row>
    <row r="670" spans="1:7">
      <c r="A670" s="11" t="s">
        <v>144</v>
      </c>
      <c r="B670" s="11" t="s">
        <v>146</v>
      </c>
      <c r="C670" s="11" t="s">
        <v>13</v>
      </c>
      <c r="D670" s="18">
        <v>45831</v>
      </c>
      <c r="E670" s="11" t="s">
        <v>1078</v>
      </c>
      <c r="F670" s="11" t="s">
        <v>484</v>
      </c>
      <c r="G670" s="19">
        <v>1296000</v>
      </c>
    </row>
    <row r="671" spans="1:7">
      <c r="A671" s="11" t="s">
        <v>101</v>
      </c>
      <c r="B671" s="11" t="s">
        <v>211</v>
      </c>
      <c r="C671" s="11" t="s">
        <v>15</v>
      </c>
      <c r="D671" s="18">
        <v>45831</v>
      </c>
      <c r="E671" s="11" t="s">
        <v>1079</v>
      </c>
      <c r="F671" s="11" t="s">
        <v>283</v>
      </c>
      <c r="G671" s="19">
        <v>35000</v>
      </c>
    </row>
    <row r="672" spans="1:7">
      <c r="A672" s="11" t="s">
        <v>87</v>
      </c>
      <c r="B672" s="11" t="s">
        <v>88</v>
      </c>
      <c r="C672" s="11" t="s">
        <v>92</v>
      </c>
      <c r="D672" s="18">
        <v>45831</v>
      </c>
      <c r="E672" s="11" t="s">
        <v>1080</v>
      </c>
      <c r="F672" s="11" t="s">
        <v>224</v>
      </c>
      <c r="G672" s="19">
        <v>11360</v>
      </c>
    </row>
    <row r="673" spans="1:7">
      <c r="A673" s="11" t="s">
        <v>104</v>
      </c>
      <c r="B673" s="11" t="s">
        <v>105</v>
      </c>
      <c r="C673" s="11" t="s">
        <v>14</v>
      </c>
      <c r="D673" s="18">
        <v>45832</v>
      </c>
      <c r="E673" s="11" t="s">
        <v>1081</v>
      </c>
      <c r="F673" s="11" t="s">
        <v>1082</v>
      </c>
      <c r="G673" s="19">
        <v>50000</v>
      </c>
    </row>
    <row r="674" spans="1:7">
      <c r="A674" s="11" t="s">
        <v>101</v>
      </c>
      <c r="B674" s="11" t="s">
        <v>211</v>
      </c>
      <c r="C674" s="11" t="s">
        <v>25</v>
      </c>
      <c r="D674" s="18">
        <v>45832</v>
      </c>
      <c r="E674" s="11" t="s">
        <v>1083</v>
      </c>
      <c r="F674" s="11" t="s">
        <v>1084</v>
      </c>
      <c r="G674" s="19">
        <v>160000</v>
      </c>
    </row>
    <row r="675" spans="1:7">
      <c r="A675" s="11" t="s">
        <v>72</v>
      </c>
      <c r="B675" s="11" t="s">
        <v>192</v>
      </c>
      <c r="C675" s="11" t="s">
        <v>25</v>
      </c>
      <c r="D675" s="18">
        <v>45832</v>
      </c>
      <c r="E675" s="11" t="s">
        <v>1085</v>
      </c>
      <c r="F675" s="11" t="s">
        <v>1086</v>
      </c>
      <c r="G675" s="19">
        <v>135000</v>
      </c>
    </row>
    <row r="676" spans="1:7">
      <c r="A676" s="11" t="s">
        <v>72</v>
      </c>
      <c r="B676" s="11" t="s">
        <v>192</v>
      </c>
      <c r="C676" s="11" t="s">
        <v>25</v>
      </c>
      <c r="D676" s="18">
        <v>45832</v>
      </c>
      <c r="E676" s="11" t="s">
        <v>1087</v>
      </c>
      <c r="F676" s="11" t="s">
        <v>901</v>
      </c>
      <c r="G676" s="19">
        <v>200000</v>
      </c>
    </row>
    <row r="677" spans="1:7">
      <c r="A677" s="11" t="s">
        <v>72</v>
      </c>
      <c r="B677" s="11" t="s">
        <v>192</v>
      </c>
      <c r="C677" s="11" t="s">
        <v>25</v>
      </c>
      <c r="D677" s="18">
        <v>45832</v>
      </c>
      <c r="E677" s="11" t="s">
        <v>1088</v>
      </c>
      <c r="F677" s="11" t="s">
        <v>659</v>
      </c>
      <c r="G677" s="19">
        <v>50000</v>
      </c>
    </row>
    <row r="678" spans="1:7">
      <c r="A678" s="11" t="s">
        <v>22</v>
      </c>
      <c r="B678" s="11" t="s">
        <v>119</v>
      </c>
      <c r="C678" s="11" t="s">
        <v>120</v>
      </c>
      <c r="D678" s="18">
        <v>45832</v>
      </c>
      <c r="E678" s="11" t="s">
        <v>1089</v>
      </c>
      <c r="F678" s="11" t="s">
        <v>945</v>
      </c>
      <c r="G678" s="19">
        <v>99040</v>
      </c>
    </row>
    <row r="679" spans="1:7">
      <c r="A679" s="11" t="s">
        <v>87</v>
      </c>
      <c r="B679" s="11" t="s">
        <v>94</v>
      </c>
      <c r="C679" s="11" t="s">
        <v>15</v>
      </c>
      <c r="D679" s="18">
        <v>45833</v>
      </c>
      <c r="E679" s="11" t="s">
        <v>1090</v>
      </c>
      <c r="F679" s="11" t="s">
        <v>342</v>
      </c>
      <c r="G679" s="19">
        <v>660000</v>
      </c>
    </row>
    <row r="680" spans="1:7">
      <c r="A680" s="11" t="s">
        <v>87</v>
      </c>
      <c r="B680" s="11" t="s">
        <v>94</v>
      </c>
      <c r="C680" s="11" t="s">
        <v>15</v>
      </c>
      <c r="D680" s="18">
        <v>45833</v>
      </c>
      <c r="E680" s="11" t="s">
        <v>1091</v>
      </c>
      <c r="F680" s="11" t="s">
        <v>340</v>
      </c>
      <c r="G680" s="19">
        <v>198000</v>
      </c>
    </row>
    <row r="681" spans="1:7">
      <c r="A681" s="11" t="s">
        <v>87</v>
      </c>
      <c r="B681" s="11" t="s">
        <v>94</v>
      </c>
      <c r="C681" s="11" t="s">
        <v>15</v>
      </c>
      <c r="D681" s="18">
        <v>45833</v>
      </c>
      <c r="E681" s="11" t="s">
        <v>1092</v>
      </c>
      <c r="F681" s="11" t="s">
        <v>346</v>
      </c>
      <c r="G681" s="19">
        <v>330000</v>
      </c>
    </row>
    <row r="682" spans="1:7">
      <c r="A682" s="11" t="s">
        <v>87</v>
      </c>
      <c r="B682" s="11" t="s">
        <v>210</v>
      </c>
      <c r="C682" s="11" t="s">
        <v>15</v>
      </c>
      <c r="D682" s="18">
        <v>45833</v>
      </c>
      <c r="E682" s="11" t="s">
        <v>1093</v>
      </c>
      <c r="F682" s="11" t="s">
        <v>384</v>
      </c>
      <c r="G682" s="19">
        <v>6310760</v>
      </c>
    </row>
    <row r="683" spans="1:7">
      <c r="A683" s="11" t="s">
        <v>87</v>
      </c>
      <c r="B683" s="11" t="s">
        <v>94</v>
      </c>
      <c r="C683" s="11" t="s">
        <v>15</v>
      </c>
      <c r="D683" s="18">
        <v>45833</v>
      </c>
      <c r="E683" s="11" t="s">
        <v>1094</v>
      </c>
      <c r="F683" s="11" t="s">
        <v>352</v>
      </c>
      <c r="G683" s="19">
        <v>4096220</v>
      </c>
    </row>
    <row r="684" spans="1:7">
      <c r="A684" s="11" t="s">
        <v>75</v>
      </c>
      <c r="B684" s="11" t="s">
        <v>76</v>
      </c>
      <c r="C684" s="11" t="s">
        <v>15</v>
      </c>
      <c r="D684" s="18">
        <v>45833</v>
      </c>
      <c r="E684" s="11" t="s">
        <v>1095</v>
      </c>
      <c r="F684" s="11" t="s">
        <v>344</v>
      </c>
      <c r="G684" s="19">
        <v>1166000</v>
      </c>
    </row>
    <row r="685" spans="1:7">
      <c r="A685" s="11" t="s">
        <v>38</v>
      </c>
      <c r="B685" s="11" t="s">
        <v>138</v>
      </c>
      <c r="C685" s="11" t="s">
        <v>15</v>
      </c>
      <c r="D685" s="18">
        <v>45833</v>
      </c>
      <c r="E685" s="11" t="s">
        <v>1096</v>
      </c>
      <c r="F685" s="11" t="s">
        <v>348</v>
      </c>
      <c r="G685" s="19">
        <v>1365080</v>
      </c>
    </row>
    <row r="686" spans="1:7">
      <c r="A686" s="11" t="s">
        <v>87</v>
      </c>
      <c r="B686" s="11" t="s">
        <v>97</v>
      </c>
      <c r="C686" s="11" t="s">
        <v>15</v>
      </c>
      <c r="D686" s="18">
        <v>45833</v>
      </c>
      <c r="E686" s="11" t="s">
        <v>1097</v>
      </c>
      <c r="F686" s="11" t="s">
        <v>350</v>
      </c>
      <c r="G686" s="19">
        <v>4613500</v>
      </c>
    </row>
    <row r="687" spans="1:7">
      <c r="A687" s="11" t="s">
        <v>28</v>
      </c>
      <c r="B687" s="11" t="s">
        <v>29</v>
      </c>
      <c r="C687" s="11" t="s">
        <v>30</v>
      </c>
      <c r="D687" s="18">
        <v>45833</v>
      </c>
      <c r="E687" s="11" t="s">
        <v>1098</v>
      </c>
      <c r="F687" s="11" t="s">
        <v>321</v>
      </c>
      <c r="G687" s="19">
        <v>1269100</v>
      </c>
    </row>
    <row r="688" spans="1:7">
      <c r="A688" s="11" t="s">
        <v>87</v>
      </c>
      <c r="B688" s="11" t="s">
        <v>88</v>
      </c>
      <c r="C688" s="11" t="s">
        <v>92</v>
      </c>
      <c r="D688" s="18">
        <v>45833</v>
      </c>
      <c r="E688" s="11" t="s">
        <v>1099</v>
      </c>
      <c r="F688" s="11" t="s">
        <v>323</v>
      </c>
      <c r="G688" s="19">
        <v>13200</v>
      </c>
    </row>
    <row r="689" spans="1:7">
      <c r="A689" s="11" t="s">
        <v>87</v>
      </c>
      <c r="B689" s="11" t="s">
        <v>30</v>
      </c>
      <c r="C689" s="11" t="s">
        <v>30</v>
      </c>
      <c r="D689" s="18">
        <v>45833</v>
      </c>
      <c r="E689" s="11" t="s">
        <v>1100</v>
      </c>
      <c r="F689" s="11" t="s">
        <v>321</v>
      </c>
      <c r="G689" s="19">
        <v>1167680</v>
      </c>
    </row>
    <row r="690" spans="1:7">
      <c r="A690" s="11" t="s">
        <v>38</v>
      </c>
      <c r="B690" s="11" t="s">
        <v>136</v>
      </c>
      <c r="C690" s="11" t="s">
        <v>15</v>
      </c>
      <c r="D690" s="18">
        <v>45833</v>
      </c>
      <c r="E690" s="11" t="s">
        <v>1101</v>
      </c>
      <c r="F690" s="11" t="s">
        <v>326</v>
      </c>
      <c r="G690" s="19">
        <v>267320</v>
      </c>
    </row>
    <row r="691" spans="1:7">
      <c r="A691" s="11" t="s">
        <v>79</v>
      </c>
      <c r="B691" s="11" t="s">
        <v>199</v>
      </c>
      <c r="C691" s="11" t="s">
        <v>15</v>
      </c>
      <c r="D691" s="18">
        <v>45834</v>
      </c>
      <c r="E691" s="11" t="s">
        <v>1102</v>
      </c>
      <c r="F691" s="11" t="s">
        <v>1103</v>
      </c>
      <c r="G691" s="19">
        <v>2132900</v>
      </c>
    </row>
    <row r="692" spans="1:7">
      <c r="A692" s="11" t="s">
        <v>173</v>
      </c>
      <c r="B692" s="11" t="s">
        <v>176</v>
      </c>
      <c r="C692" s="11" t="s">
        <v>13</v>
      </c>
      <c r="D692" s="18">
        <v>45834</v>
      </c>
      <c r="E692" s="11" t="s">
        <v>1104</v>
      </c>
      <c r="F692" s="11" t="s">
        <v>1105</v>
      </c>
      <c r="G692" s="19">
        <v>90000</v>
      </c>
    </row>
    <row r="693" spans="1:7">
      <c r="A693" s="11" t="s">
        <v>38</v>
      </c>
      <c r="B693" s="11" t="s">
        <v>39</v>
      </c>
      <c r="C693" s="11" t="s">
        <v>15</v>
      </c>
      <c r="D693" s="18">
        <v>45834</v>
      </c>
      <c r="E693" s="11" t="s">
        <v>1106</v>
      </c>
      <c r="F693" s="11" t="s">
        <v>330</v>
      </c>
      <c r="G693" s="19">
        <v>16500</v>
      </c>
    </row>
    <row r="694" spans="1:7">
      <c r="A694" s="11" t="s">
        <v>87</v>
      </c>
      <c r="B694" s="11" t="s">
        <v>88</v>
      </c>
      <c r="C694" s="11" t="s">
        <v>92</v>
      </c>
      <c r="D694" s="18">
        <v>45834</v>
      </c>
      <c r="E694" s="11" t="s">
        <v>1107</v>
      </c>
      <c r="F694" s="11" t="s">
        <v>330</v>
      </c>
      <c r="G694" s="19">
        <v>742020</v>
      </c>
    </row>
    <row r="695" spans="1:7">
      <c r="A695" s="11" t="s">
        <v>173</v>
      </c>
      <c r="B695" s="11" t="s">
        <v>182</v>
      </c>
      <c r="C695" s="11" t="s">
        <v>25</v>
      </c>
      <c r="D695" s="18">
        <v>45834</v>
      </c>
      <c r="E695" s="11" t="s">
        <v>1108</v>
      </c>
      <c r="F695" s="11" t="s">
        <v>538</v>
      </c>
      <c r="G695" s="19">
        <v>136120</v>
      </c>
    </row>
    <row r="696" spans="1:7">
      <c r="A696" s="11" t="s">
        <v>62</v>
      </c>
      <c r="B696" s="11" t="s">
        <v>171</v>
      </c>
      <c r="C696" s="11" t="s">
        <v>25</v>
      </c>
      <c r="D696" s="18">
        <v>45834</v>
      </c>
      <c r="E696" s="11" t="s">
        <v>1108</v>
      </c>
      <c r="F696" s="11" t="s">
        <v>538</v>
      </c>
      <c r="G696" s="19">
        <v>22588020</v>
      </c>
    </row>
    <row r="697" spans="1:7">
      <c r="A697" s="11" t="s">
        <v>62</v>
      </c>
      <c r="B697" s="11" t="s">
        <v>172</v>
      </c>
      <c r="C697" s="11" t="s">
        <v>25</v>
      </c>
      <c r="D697" s="18">
        <v>45834</v>
      </c>
      <c r="E697" s="11" t="s">
        <v>1108</v>
      </c>
      <c r="F697" s="11" t="s">
        <v>538</v>
      </c>
      <c r="G697" s="19">
        <v>3065370</v>
      </c>
    </row>
    <row r="698" spans="1:7">
      <c r="A698" s="11" t="s">
        <v>62</v>
      </c>
      <c r="B698" s="11" t="s">
        <v>172</v>
      </c>
      <c r="C698" s="11" t="s">
        <v>15</v>
      </c>
      <c r="D698" s="18">
        <v>45834</v>
      </c>
      <c r="E698" s="11" t="s">
        <v>1109</v>
      </c>
      <c r="F698" s="11" t="s">
        <v>502</v>
      </c>
      <c r="G698" s="19">
        <v>368290</v>
      </c>
    </row>
    <row r="699" spans="1:7">
      <c r="A699" s="11" t="s">
        <v>173</v>
      </c>
      <c r="B699" s="11" t="s">
        <v>182</v>
      </c>
      <c r="C699" s="11" t="s">
        <v>15</v>
      </c>
      <c r="D699" s="18">
        <v>45834</v>
      </c>
      <c r="E699" s="11" t="s">
        <v>1109</v>
      </c>
      <c r="F699" s="11" t="s">
        <v>502</v>
      </c>
      <c r="G699" s="19">
        <v>341470</v>
      </c>
    </row>
    <row r="700" spans="1:7">
      <c r="A700" s="11" t="s">
        <v>62</v>
      </c>
      <c r="B700" s="11" t="s">
        <v>171</v>
      </c>
      <c r="C700" s="11" t="s">
        <v>15</v>
      </c>
      <c r="D700" s="18">
        <v>45834</v>
      </c>
      <c r="E700" s="11" t="s">
        <v>1109</v>
      </c>
      <c r="F700" s="11" t="s">
        <v>502</v>
      </c>
      <c r="G700" s="19">
        <v>3805410</v>
      </c>
    </row>
    <row r="701" spans="1:7">
      <c r="A701" s="11" t="s">
        <v>87</v>
      </c>
      <c r="B701" s="11" t="s">
        <v>89</v>
      </c>
      <c r="C701" s="11" t="s">
        <v>89</v>
      </c>
      <c r="D701" s="18">
        <v>45834</v>
      </c>
      <c r="E701" s="11" t="s">
        <v>1110</v>
      </c>
      <c r="F701" s="11" t="s">
        <v>382</v>
      </c>
      <c r="G701" s="19">
        <v>-2226770</v>
      </c>
    </row>
    <row r="702" spans="1:7">
      <c r="A702" s="11" t="s">
        <v>87</v>
      </c>
      <c r="B702" s="11" t="s">
        <v>89</v>
      </c>
      <c r="C702" s="11" t="s">
        <v>89</v>
      </c>
      <c r="D702" s="18">
        <v>45834</v>
      </c>
      <c r="E702" s="11" t="s">
        <v>1111</v>
      </c>
      <c r="F702" s="11" t="s">
        <v>382</v>
      </c>
      <c r="G702" s="19">
        <v>-2288400</v>
      </c>
    </row>
    <row r="703" spans="1:7">
      <c r="A703" s="11" t="s">
        <v>38</v>
      </c>
      <c r="B703" s="11" t="s">
        <v>136</v>
      </c>
      <c r="C703" s="11" t="s">
        <v>15</v>
      </c>
      <c r="D703" s="18">
        <v>45834</v>
      </c>
      <c r="E703" s="11" t="s">
        <v>1112</v>
      </c>
      <c r="F703" s="11" t="s">
        <v>335</v>
      </c>
      <c r="G703" s="19">
        <v>858600</v>
      </c>
    </row>
    <row r="704" spans="1:7">
      <c r="A704" s="11" t="s">
        <v>130</v>
      </c>
      <c r="B704" s="11" t="s">
        <v>132</v>
      </c>
      <c r="C704" s="11" t="s">
        <v>15</v>
      </c>
      <c r="D704" s="18">
        <v>45835</v>
      </c>
      <c r="E704" s="11" t="s">
        <v>1113</v>
      </c>
      <c r="F704" s="11" t="s">
        <v>317</v>
      </c>
      <c r="G704" s="19">
        <v>450000</v>
      </c>
    </row>
    <row r="705" spans="1:7">
      <c r="A705" s="11" t="s">
        <v>173</v>
      </c>
      <c r="B705" s="11" t="s">
        <v>180</v>
      </c>
      <c r="C705" s="11" t="s">
        <v>25</v>
      </c>
      <c r="D705" s="18">
        <v>45835</v>
      </c>
      <c r="E705" s="11" t="s">
        <v>1114</v>
      </c>
      <c r="F705" s="11" t="s">
        <v>249</v>
      </c>
      <c r="G705" s="19">
        <v>640000</v>
      </c>
    </row>
    <row r="706" spans="1:7">
      <c r="A706" s="11" t="s">
        <v>22</v>
      </c>
      <c r="B706" s="11" t="s">
        <v>119</v>
      </c>
      <c r="C706" s="11" t="s">
        <v>120</v>
      </c>
      <c r="D706" s="18">
        <v>45835</v>
      </c>
      <c r="E706" s="11" t="s">
        <v>1115</v>
      </c>
      <c r="F706" s="11" t="s">
        <v>945</v>
      </c>
      <c r="G706" s="19">
        <v>297100</v>
      </c>
    </row>
    <row r="707" spans="1:7">
      <c r="A707" s="11" t="s">
        <v>200</v>
      </c>
      <c r="B707" s="11" t="s">
        <v>202</v>
      </c>
      <c r="C707" s="11" t="s">
        <v>25</v>
      </c>
      <c r="D707" s="18">
        <v>45835</v>
      </c>
      <c r="E707" s="11" t="s">
        <v>1116</v>
      </c>
      <c r="F707" s="11" t="s">
        <v>669</v>
      </c>
      <c r="G707" s="19">
        <v>130000</v>
      </c>
    </row>
    <row r="708" spans="1:7">
      <c r="A708" s="11" t="s">
        <v>38</v>
      </c>
      <c r="B708" s="11" t="s">
        <v>137</v>
      </c>
      <c r="C708" s="11" t="s">
        <v>15</v>
      </c>
      <c r="D708" s="18">
        <v>45835</v>
      </c>
      <c r="E708" s="11" t="s">
        <v>1117</v>
      </c>
      <c r="F708" s="11" t="s">
        <v>326</v>
      </c>
      <c r="G708" s="19">
        <v>376800</v>
      </c>
    </row>
    <row r="709" spans="1:7">
      <c r="A709" s="11" t="s">
        <v>11</v>
      </c>
      <c r="B709" s="11" t="s">
        <v>115</v>
      </c>
      <c r="C709" s="11" t="s">
        <v>25</v>
      </c>
      <c r="D709" s="18">
        <v>45835</v>
      </c>
      <c r="E709" s="11" t="s">
        <v>1118</v>
      </c>
      <c r="F709" s="11" t="s">
        <v>1119</v>
      </c>
      <c r="G709" s="19">
        <v>120000</v>
      </c>
    </row>
    <row r="710" spans="1:7">
      <c r="A710" s="11" t="s">
        <v>130</v>
      </c>
      <c r="B710" s="11" t="s">
        <v>36</v>
      </c>
      <c r="C710" s="11" t="s">
        <v>34</v>
      </c>
      <c r="D710" s="18">
        <v>45835</v>
      </c>
      <c r="E710" s="11" t="s">
        <v>1120</v>
      </c>
      <c r="F710" s="11" t="s">
        <v>306</v>
      </c>
      <c r="G710" s="19">
        <v>282700</v>
      </c>
    </row>
    <row r="711" spans="1:7">
      <c r="A711" s="11" t="s">
        <v>75</v>
      </c>
      <c r="B711" s="11" t="s">
        <v>76</v>
      </c>
      <c r="C711" s="11" t="s">
        <v>13</v>
      </c>
      <c r="D711" s="18">
        <v>45835</v>
      </c>
      <c r="E711" s="11" t="s">
        <v>1121</v>
      </c>
      <c r="F711" s="11" t="s">
        <v>225</v>
      </c>
      <c r="G711" s="19">
        <v>484000</v>
      </c>
    </row>
    <row r="712" spans="1:7">
      <c r="A712" s="11" t="s">
        <v>38</v>
      </c>
      <c r="B712" s="11" t="s">
        <v>39</v>
      </c>
      <c r="C712" s="11" t="s">
        <v>15</v>
      </c>
      <c r="D712" s="18">
        <v>45838</v>
      </c>
      <c r="E712" s="11" t="s">
        <v>1122</v>
      </c>
      <c r="F712" s="11" t="s">
        <v>1123</v>
      </c>
      <c r="G712" s="19">
        <v>945800</v>
      </c>
    </row>
    <row r="713" spans="1:7">
      <c r="A713" s="11" t="s">
        <v>109</v>
      </c>
      <c r="B713" s="11" t="s">
        <v>215</v>
      </c>
      <c r="C713" s="11" t="s">
        <v>120</v>
      </c>
      <c r="D713" s="18">
        <v>45838</v>
      </c>
      <c r="E713" s="11" t="s">
        <v>1124</v>
      </c>
      <c r="F713" s="11" t="s">
        <v>370</v>
      </c>
      <c r="G713" s="19">
        <v>1116880</v>
      </c>
    </row>
    <row r="714" spans="1:7">
      <c r="A714" s="11" t="s">
        <v>55</v>
      </c>
      <c r="B714" s="11" t="s">
        <v>163</v>
      </c>
      <c r="C714" s="11" t="s">
        <v>120</v>
      </c>
      <c r="D714" s="18">
        <v>45838</v>
      </c>
      <c r="E714" s="11" t="s">
        <v>1125</v>
      </c>
      <c r="F714" s="11" t="s">
        <v>372</v>
      </c>
      <c r="G714" s="19">
        <v>2525120</v>
      </c>
    </row>
    <row r="715" spans="1:7">
      <c r="A715" s="11" t="s">
        <v>200</v>
      </c>
      <c r="B715" s="11" t="s">
        <v>201</v>
      </c>
      <c r="C715" s="11" t="s">
        <v>120</v>
      </c>
      <c r="D715" s="18">
        <v>45838</v>
      </c>
      <c r="E715" s="11" t="s">
        <v>1126</v>
      </c>
      <c r="F715" s="11" t="s">
        <v>368</v>
      </c>
      <c r="G715" s="19">
        <v>4656040</v>
      </c>
    </row>
    <row r="716" spans="1:7">
      <c r="A716" s="11" t="s">
        <v>22</v>
      </c>
      <c r="B716" s="11" t="s">
        <v>119</v>
      </c>
      <c r="C716" s="11" t="s">
        <v>120</v>
      </c>
      <c r="D716" s="18">
        <v>45838</v>
      </c>
      <c r="E716" s="11" t="s">
        <v>1127</v>
      </c>
      <c r="F716" s="11" t="s">
        <v>642</v>
      </c>
      <c r="G716" s="19">
        <v>12621260</v>
      </c>
    </row>
    <row r="717" spans="1:7">
      <c r="A717" s="11" t="s">
        <v>55</v>
      </c>
      <c r="B717" s="11" t="s">
        <v>166</v>
      </c>
      <c r="C717" s="11" t="s">
        <v>25</v>
      </c>
      <c r="D717" s="18">
        <v>45838</v>
      </c>
      <c r="E717" s="11" t="s">
        <v>1128</v>
      </c>
      <c r="F717" s="11" t="s">
        <v>649</v>
      </c>
      <c r="G717" s="19">
        <v>720000</v>
      </c>
    </row>
    <row r="718" spans="1:7">
      <c r="A718" s="11" t="s">
        <v>173</v>
      </c>
      <c r="B718" s="11" t="s">
        <v>180</v>
      </c>
      <c r="C718" s="11" t="s">
        <v>25</v>
      </c>
      <c r="D718" s="18">
        <v>45838</v>
      </c>
      <c r="E718" s="11" t="s">
        <v>1129</v>
      </c>
      <c r="F718" s="11" t="s">
        <v>896</v>
      </c>
      <c r="G718" s="19">
        <v>6880000</v>
      </c>
    </row>
    <row r="719" spans="1:7">
      <c r="A719" s="11" t="s">
        <v>173</v>
      </c>
      <c r="B719" s="11" t="s">
        <v>179</v>
      </c>
      <c r="C719" s="11" t="s">
        <v>15</v>
      </c>
      <c r="D719" s="18">
        <v>45838</v>
      </c>
      <c r="E719" s="11" t="s">
        <v>1130</v>
      </c>
      <c r="F719" s="11" t="s">
        <v>651</v>
      </c>
      <c r="G719" s="19">
        <v>570580</v>
      </c>
    </row>
    <row r="720" spans="1:7">
      <c r="A720" s="11" t="s">
        <v>173</v>
      </c>
      <c r="B720" s="11" t="s">
        <v>180</v>
      </c>
      <c r="C720" s="11" t="s">
        <v>151</v>
      </c>
      <c r="D720" s="18">
        <v>45838</v>
      </c>
      <c r="E720" s="11" t="s">
        <v>1131</v>
      </c>
      <c r="F720" s="11" t="s">
        <v>502</v>
      </c>
      <c r="G720" s="19">
        <v>74510</v>
      </c>
    </row>
    <row r="721" spans="1:7">
      <c r="A721" s="11" t="s">
        <v>43</v>
      </c>
      <c r="B721" s="11" t="s">
        <v>139</v>
      </c>
      <c r="C721" s="11" t="s">
        <v>25</v>
      </c>
      <c r="D721" s="18">
        <v>45838</v>
      </c>
      <c r="E721" s="11" t="s">
        <v>1132</v>
      </c>
      <c r="F721" s="11" t="s">
        <v>654</v>
      </c>
      <c r="G721" s="19">
        <v>1350000</v>
      </c>
    </row>
    <row r="722" spans="1:7">
      <c r="A722" s="11" t="s">
        <v>173</v>
      </c>
      <c r="B722" s="11" t="s">
        <v>176</v>
      </c>
      <c r="C722" s="11" t="s">
        <v>13</v>
      </c>
      <c r="D722" s="18">
        <v>45838</v>
      </c>
      <c r="E722" s="11" t="s">
        <v>1133</v>
      </c>
      <c r="F722" s="11" t="s">
        <v>394</v>
      </c>
      <c r="G722" s="19">
        <v>418000</v>
      </c>
    </row>
    <row r="723" spans="1:7">
      <c r="A723" s="11" t="s">
        <v>173</v>
      </c>
      <c r="B723" s="11" t="s">
        <v>175</v>
      </c>
      <c r="C723" s="11" t="s">
        <v>13</v>
      </c>
      <c r="D723" s="18">
        <v>45838</v>
      </c>
      <c r="E723" s="11" t="s">
        <v>1133</v>
      </c>
      <c r="F723" s="11" t="s">
        <v>393</v>
      </c>
      <c r="G723" s="19">
        <v>570000</v>
      </c>
    </row>
    <row r="724" spans="1:7">
      <c r="A724" s="11" t="s">
        <v>109</v>
      </c>
      <c r="B724" s="11" t="s">
        <v>215</v>
      </c>
      <c r="C724" s="11" t="s">
        <v>120</v>
      </c>
      <c r="D724" s="18">
        <v>45838</v>
      </c>
      <c r="E724" s="11" t="s">
        <v>1134</v>
      </c>
      <c r="F724" s="11" t="s">
        <v>502</v>
      </c>
      <c r="G724" s="19">
        <v>95870</v>
      </c>
    </row>
    <row r="725" spans="1:7">
      <c r="A725" s="11" t="s">
        <v>200</v>
      </c>
      <c r="B725" s="11" t="s">
        <v>201</v>
      </c>
      <c r="C725" s="11" t="s">
        <v>151</v>
      </c>
      <c r="D725" s="18">
        <v>45838</v>
      </c>
      <c r="E725" s="11" t="s">
        <v>1134</v>
      </c>
      <c r="F725" s="11" t="s">
        <v>502</v>
      </c>
      <c r="G725" s="19">
        <v>239440</v>
      </c>
    </row>
    <row r="726" spans="1:7">
      <c r="A726" s="11" t="s">
        <v>72</v>
      </c>
      <c r="B726" s="11" t="s">
        <v>192</v>
      </c>
      <c r="C726" s="11" t="s">
        <v>120</v>
      </c>
      <c r="D726" s="18">
        <v>45838</v>
      </c>
      <c r="E726" s="11" t="s">
        <v>1134</v>
      </c>
      <c r="F726" s="11" t="s">
        <v>502</v>
      </c>
      <c r="G726" s="19">
        <v>38040</v>
      </c>
    </row>
    <row r="727" spans="1:7">
      <c r="A727" s="11" t="s">
        <v>144</v>
      </c>
      <c r="B727" s="11" t="s">
        <v>150</v>
      </c>
      <c r="C727" s="11" t="s">
        <v>151</v>
      </c>
      <c r="D727" s="18">
        <v>45838</v>
      </c>
      <c r="E727" s="11" t="s">
        <v>1134</v>
      </c>
      <c r="F727" s="11" t="s">
        <v>502</v>
      </c>
      <c r="G727" s="19">
        <v>114120</v>
      </c>
    </row>
    <row r="728" spans="1:7">
      <c r="A728" s="11" t="s">
        <v>160</v>
      </c>
      <c r="B728" s="11" t="s">
        <v>161</v>
      </c>
      <c r="C728" s="11" t="s">
        <v>25</v>
      </c>
      <c r="D728" s="18">
        <v>45838</v>
      </c>
      <c r="E728" s="11" t="s">
        <v>1134</v>
      </c>
      <c r="F728" s="11" t="s">
        <v>502</v>
      </c>
      <c r="G728" s="19">
        <v>225190</v>
      </c>
    </row>
    <row r="729" spans="1:7">
      <c r="A729" s="11" t="s">
        <v>173</v>
      </c>
      <c r="B729" s="11" t="s">
        <v>180</v>
      </c>
      <c r="C729" s="11" t="s">
        <v>151</v>
      </c>
      <c r="D729" s="18">
        <v>45838</v>
      </c>
      <c r="E729" s="11" t="s">
        <v>1134</v>
      </c>
      <c r="F729" s="11" t="s">
        <v>502</v>
      </c>
      <c r="G729" s="19">
        <v>20280</v>
      </c>
    </row>
    <row r="730" spans="1:7">
      <c r="A730" s="11" t="s">
        <v>22</v>
      </c>
      <c r="B730" s="11" t="s">
        <v>23</v>
      </c>
      <c r="C730" s="11" t="s">
        <v>24</v>
      </c>
      <c r="D730" s="18">
        <v>45838</v>
      </c>
      <c r="E730" s="11" t="s">
        <v>1134</v>
      </c>
      <c r="F730" s="11" t="s">
        <v>502</v>
      </c>
      <c r="G730" s="19">
        <v>1457990</v>
      </c>
    </row>
    <row r="731" spans="1:7">
      <c r="A731" s="11" t="s">
        <v>22</v>
      </c>
      <c r="B731" s="11" t="s">
        <v>119</v>
      </c>
      <c r="C731" s="11" t="s">
        <v>120</v>
      </c>
      <c r="D731" s="18">
        <v>45838</v>
      </c>
      <c r="E731" s="11" t="s">
        <v>1134</v>
      </c>
      <c r="F731" s="11" t="s">
        <v>502</v>
      </c>
      <c r="G731" s="19">
        <v>514840</v>
      </c>
    </row>
    <row r="732" spans="1:7">
      <c r="A732" s="11" t="s">
        <v>22</v>
      </c>
      <c r="B732" s="11" t="s">
        <v>121</v>
      </c>
      <c r="C732" s="11" t="s">
        <v>122</v>
      </c>
      <c r="D732" s="18">
        <v>45838</v>
      </c>
      <c r="E732" s="11" t="s">
        <v>1134</v>
      </c>
      <c r="F732" s="11" t="s">
        <v>502</v>
      </c>
      <c r="G732" s="19">
        <v>61470</v>
      </c>
    </row>
    <row r="733" spans="1:7">
      <c r="A733" s="11" t="s">
        <v>144</v>
      </c>
      <c r="B733" s="11" t="s">
        <v>147</v>
      </c>
      <c r="C733" s="11" t="s">
        <v>25</v>
      </c>
      <c r="D733" s="18">
        <v>45838</v>
      </c>
      <c r="E733" s="11" t="s">
        <v>1134</v>
      </c>
      <c r="F733" s="11" t="s">
        <v>502</v>
      </c>
      <c r="G733" s="19">
        <v>38040</v>
      </c>
    </row>
    <row r="734" spans="1:7">
      <c r="A734" s="11" t="s">
        <v>104</v>
      </c>
      <c r="B734" s="11" t="s">
        <v>108</v>
      </c>
      <c r="C734" s="11" t="s">
        <v>44</v>
      </c>
      <c r="D734" s="18">
        <v>45838</v>
      </c>
      <c r="E734" s="11" t="s">
        <v>1135</v>
      </c>
      <c r="F734" s="11" t="s">
        <v>1136</v>
      </c>
      <c r="G734" s="19">
        <v>120000</v>
      </c>
    </row>
    <row r="735" spans="1:7">
      <c r="A735" s="11" t="s">
        <v>173</v>
      </c>
      <c r="B735" s="11" t="s">
        <v>178</v>
      </c>
      <c r="C735" s="11" t="s">
        <v>13</v>
      </c>
      <c r="D735" s="18">
        <v>45838</v>
      </c>
      <c r="E735" s="11" t="s">
        <v>1137</v>
      </c>
      <c r="F735" s="11" t="s">
        <v>389</v>
      </c>
      <c r="G735" s="19">
        <v>6555000</v>
      </c>
    </row>
    <row r="736" spans="1:7">
      <c r="A736" s="11" t="s">
        <v>99</v>
      </c>
      <c r="B736" s="11" t="s">
        <v>99</v>
      </c>
      <c r="C736" s="11" t="s">
        <v>44</v>
      </c>
      <c r="D736" s="18">
        <v>45838</v>
      </c>
      <c r="E736" s="11" t="s">
        <v>1138</v>
      </c>
      <c r="F736" s="11" t="s">
        <v>376</v>
      </c>
      <c r="G736" s="19">
        <v>20000</v>
      </c>
    </row>
    <row r="737" spans="1:7">
      <c r="A737" s="11" t="s">
        <v>28</v>
      </c>
      <c r="B737" s="11" t="s">
        <v>127</v>
      </c>
      <c r="C737" s="11" t="s">
        <v>15</v>
      </c>
      <c r="D737" s="18">
        <v>45838</v>
      </c>
      <c r="E737" s="11" t="s">
        <v>1139</v>
      </c>
      <c r="F737" s="11" t="s">
        <v>319</v>
      </c>
      <c r="G737" s="19">
        <v>273900</v>
      </c>
    </row>
    <row r="738" spans="1:7">
      <c r="A738" s="11" t="s">
        <v>87</v>
      </c>
      <c r="B738" s="11" t="s">
        <v>89</v>
      </c>
      <c r="C738" s="11" t="s">
        <v>89</v>
      </c>
      <c r="D738" s="18">
        <v>45838</v>
      </c>
      <c r="E738" s="11" t="s">
        <v>1140</v>
      </c>
      <c r="F738" s="11" t="s">
        <v>382</v>
      </c>
      <c r="G738" s="19">
        <v>2446040</v>
      </c>
    </row>
    <row r="739" spans="1:7">
      <c r="A739" s="11" t="s">
        <v>87</v>
      </c>
      <c r="B739" s="11" t="s">
        <v>89</v>
      </c>
      <c r="C739" s="11" t="s">
        <v>89</v>
      </c>
      <c r="D739" s="18">
        <v>45838</v>
      </c>
      <c r="E739" s="11" t="s">
        <v>1141</v>
      </c>
      <c r="F739" s="11" t="s">
        <v>378</v>
      </c>
      <c r="G739" s="19">
        <v>2500</v>
      </c>
    </row>
    <row r="740" spans="1:7">
      <c r="A740" s="11" t="s">
        <v>28</v>
      </c>
      <c r="B740" s="11" t="s">
        <v>127</v>
      </c>
      <c r="C740" s="11" t="s">
        <v>32</v>
      </c>
      <c r="D740" s="18">
        <v>45838</v>
      </c>
      <c r="E740" s="11" t="s">
        <v>1142</v>
      </c>
      <c r="F740" s="11" t="s">
        <v>407</v>
      </c>
      <c r="G740" s="19">
        <v>506930</v>
      </c>
    </row>
    <row r="741" spans="1:7">
      <c r="A741" s="11" t="s">
        <v>28</v>
      </c>
      <c r="B741" s="11" t="s">
        <v>125</v>
      </c>
      <c r="C741" s="11" t="s">
        <v>32</v>
      </c>
      <c r="D741" s="18">
        <v>45838</v>
      </c>
      <c r="E741" s="11" t="s">
        <v>1142</v>
      </c>
      <c r="F741" s="11" t="s">
        <v>407</v>
      </c>
      <c r="G741" s="19">
        <v>5300690</v>
      </c>
    </row>
    <row r="742" spans="1:7">
      <c r="A742" s="11" t="s">
        <v>28</v>
      </c>
      <c r="B742" s="11" t="s">
        <v>29</v>
      </c>
      <c r="C742" s="11" t="s">
        <v>15</v>
      </c>
      <c r="D742" s="18">
        <v>45838</v>
      </c>
      <c r="E742" s="11" t="s">
        <v>1143</v>
      </c>
      <c r="F742" s="11" t="s">
        <v>405</v>
      </c>
      <c r="G742" s="19">
        <v>599400</v>
      </c>
    </row>
    <row r="743" spans="1:7">
      <c r="A743" s="11" t="s">
        <v>28</v>
      </c>
      <c r="B743" s="11" t="s">
        <v>125</v>
      </c>
      <c r="C743" s="11" t="s">
        <v>32</v>
      </c>
      <c r="D743" s="18">
        <v>45838</v>
      </c>
      <c r="E743" s="11" t="s">
        <v>1144</v>
      </c>
      <c r="F743" s="11" t="s">
        <v>411</v>
      </c>
      <c r="G743" s="19">
        <v>16286730</v>
      </c>
    </row>
    <row r="744" spans="1:7">
      <c r="A744" s="11" t="s">
        <v>28</v>
      </c>
      <c r="B744" s="11" t="s">
        <v>125</v>
      </c>
      <c r="C744" s="11" t="s">
        <v>32</v>
      </c>
      <c r="D744" s="18">
        <v>45838</v>
      </c>
      <c r="E744" s="11" t="s">
        <v>1145</v>
      </c>
      <c r="F744" s="11" t="s">
        <v>413</v>
      </c>
      <c r="G744" s="19">
        <v>15294880</v>
      </c>
    </row>
    <row r="745" spans="1:7">
      <c r="A745" s="11" t="s">
        <v>28</v>
      </c>
      <c r="B745" s="11" t="s">
        <v>125</v>
      </c>
      <c r="C745" s="11" t="s">
        <v>32</v>
      </c>
      <c r="D745" s="18">
        <v>45838</v>
      </c>
      <c r="E745" s="11" t="s">
        <v>1146</v>
      </c>
      <c r="F745" s="11" t="s">
        <v>415</v>
      </c>
      <c r="G745" s="19">
        <v>6634480</v>
      </c>
    </row>
    <row r="746" spans="1:7">
      <c r="A746" s="11" t="s">
        <v>28</v>
      </c>
      <c r="B746" s="11" t="s">
        <v>125</v>
      </c>
      <c r="C746" s="11" t="s">
        <v>32</v>
      </c>
      <c r="D746" s="18">
        <v>45838</v>
      </c>
      <c r="E746" s="11" t="s">
        <v>1147</v>
      </c>
      <c r="F746" s="11" t="s">
        <v>683</v>
      </c>
      <c r="G746" s="19">
        <v>3014900</v>
      </c>
    </row>
    <row r="747" spans="1:7">
      <c r="A747" s="11" t="s">
        <v>28</v>
      </c>
      <c r="B747" s="11" t="s">
        <v>125</v>
      </c>
      <c r="C747" s="11" t="s">
        <v>32</v>
      </c>
      <c r="D747" s="18">
        <v>45838</v>
      </c>
      <c r="E747" s="11" t="s">
        <v>1148</v>
      </c>
      <c r="F747" s="11" t="s">
        <v>417</v>
      </c>
      <c r="G747" s="19">
        <v>3697100</v>
      </c>
    </row>
    <row r="748" spans="1:7">
      <c r="A748" s="11" t="s">
        <v>28</v>
      </c>
      <c r="B748" s="11" t="s">
        <v>125</v>
      </c>
      <c r="C748" s="11" t="s">
        <v>32</v>
      </c>
      <c r="D748" s="18">
        <v>45838</v>
      </c>
      <c r="E748" s="11" t="s">
        <v>1149</v>
      </c>
      <c r="F748" s="11" t="s">
        <v>1150</v>
      </c>
      <c r="G748" s="19">
        <v>19403070</v>
      </c>
    </row>
    <row r="749" spans="1:7">
      <c r="A749" s="11" t="s">
        <v>104</v>
      </c>
      <c r="B749" s="11" t="s">
        <v>105</v>
      </c>
      <c r="C749" s="11" t="s">
        <v>107</v>
      </c>
      <c r="D749" s="18">
        <v>45839</v>
      </c>
      <c r="E749" s="11" t="s">
        <v>1151</v>
      </c>
      <c r="F749" s="11" t="s">
        <v>231</v>
      </c>
      <c r="G749" s="19">
        <v>370000</v>
      </c>
    </row>
    <row r="750" spans="1:7">
      <c r="A750" s="11" t="s">
        <v>104</v>
      </c>
      <c r="B750" s="11" t="s">
        <v>108</v>
      </c>
      <c r="C750" s="11" t="s">
        <v>15</v>
      </c>
      <c r="D750" s="18">
        <v>45840</v>
      </c>
      <c r="E750" s="11" t="s">
        <v>1152</v>
      </c>
      <c r="F750" s="11" t="s">
        <v>409</v>
      </c>
      <c r="G750" s="19">
        <v>132000</v>
      </c>
    </row>
    <row r="751" spans="1:7">
      <c r="A751" s="11" t="s">
        <v>104</v>
      </c>
      <c r="B751" s="11" t="s">
        <v>108</v>
      </c>
      <c r="C751" s="11" t="s">
        <v>15</v>
      </c>
      <c r="D751" s="18">
        <v>45840</v>
      </c>
      <c r="E751" s="11" t="s">
        <v>1153</v>
      </c>
      <c r="F751" s="11" t="s">
        <v>396</v>
      </c>
      <c r="G751" s="19">
        <v>24000</v>
      </c>
    </row>
    <row r="752" spans="1:7">
      <c r="A752" s="11" t="s">
        <v>75</v>
      </c>
      <c r="B752" s="11" t="s">
        <v>76</v>
      </c>
      <c r="C752" s="11" t="s">
        <v>31</v>
      </c>
      <c r="D752" s="18">
        <v>45840</v>
      </c>
      <c r="E752" s="11" t="s">
        <v>1154</v>
      </c>
      <c r="F752" s="11" t="s">
        <v>225</v>
      </c>
      <c r="G752" s="19">
        <v>440000</v>
      </c>
    </row>
    <row r="753" spans="1:7">
      <c r="A753" s="11" t="s">
        <v>45</v>
      </c>
      <c r="B753" s="11" t="s">
        <v>143</v>
      </c>
      <c r="C753" s="11" t="s">
        <v>15</v>
      </c>
      <c r="D753" s="18">
        <v>45840</v>
      </c>
      <c r="E753" s="11" t="s">
        <v>1155</v>
      </c>
      <c r="F753" s="11" t="s">
        <v>426</v>
      </c>
      <c r="G753" s="19">
        <v>8659440</v>
      </c>
    </row>
    <row r="754" spans="1:7">
      <c r="A754" s="11" t="s">
        <v>22</v>
      </c>
      <c r="B754" s="11" t="s">
        <v>119</v>
      </c>
      <c r="C754" s="11" t="s">
        <v>120</v>
      </c>
      <c r="D754" s="18">
        <v>45840</v>
      </c>
      <c r="E754" s="11" t="s">
        <v>1156</v>
      </c>
      <c r="F754" s="11" t="s">
        <v>1005</v>
      </c>
      <c r="G754" s="19">
        <v>60700</v>
      </c>
    </row>
    <row r="755" spans="1:7">
      <c r="A755" s="11" t="s">
        <v>22</v>
      </c>
      <c r="B755" s="11" t="s">
        <v>119</v>
      </c>
      <c r="C755" s="11" t="s">
        <v>120</v>
      </c>
      <c r="D755" s="18">
        <v>45840</v>
      </c>
      <c r="E755" s="11" t="s">
        <v>1157</v>
      </c>
      <c r="F755" s="11" t="s">
        <v>1049</v>
      </c>
      <c r="G755" s="19">
        <v>73420</v>
      </c>
    </row>
    <row r="756" spans="1:7">
      <c r="A756" s="11" t="s">
        <v>65</v>
      </c>
      <c r="B756" s="11" t="s">
        <v>67</v>
      </c>
      <c r="C756" s="11" t="s">
        <v>120</v>
      </c>
      <c r="D756" s="18">
        <v>45840</v>
      </c>
      <c r="E756" s="11" t="s">
        <v>1157</v>
      </c>
      <c r="F756" s="11" t="s">
        <v>1049</v>
      </c>
      <c r="G756" s="19">
        <v>73420</v>
      </c>
    </row>
    <row r="757" spans="1:7">
      <c r="A757" s="11" t="s">
        <v>83</v>
      </c>
      <c r="B757" s="11" t="s">
        <v>206</v>
      </c>
      <c r="C757" s="11" t="s">
        <v>25</v>
      </c>
      <c r="D757" s="18">
        <v>45840</v>
      </c>
      <c r="E757" s="11" t="s">
        <v>1158</v>
      </c>
      <c r="F757" s="11" t="s">
        <v>661</v>
      </c>
      <c r="G757" s="19">
        <v>300000</v>
      </c>
    </row>
    <row r="758" spans="1:7">
      <c r="A758" s="11" t="s">
        <v>72</v>
      </c>
      <c r="B758" s="11" t="s">
        <v>192</v>
      </c>
      <c r="C758" s="11" t="s">
        <v>25</v>
      </c>
      <c r="D758" s="18">
        <v>45840</v>
      </c>
      <c r="E758" s="11" t="s">
        <v>1159</v>
      </c>
      <c r="F758" s="11" t="s">
        <v>1160</v>
      </c>
      <c r="G758" s="19">
        <v>600000</v>
      </c>
    </row>
    <row r="759" spans="1:7">
      <c r="A759" s="11" t="s">
        <v>104</v>
      </c>
      <c r="B759" s="11" t="s">
        <v>108</v>
      </c>
      <c r="C759" s="11" t="s">
        <v>15</v>
      </c>
      <c r="D759" s="18">
        <v>45840</v>
      </c>
      <c r="E759" s="11" t="s">
        <v>1161</v>
      </c>
      <c r="F759" s="11" t="s">
        <v>255</v>
      </c>
      <c r="G759" s="19">
        <v>60</v>
      </c>
    </row>
    <row r="760" spans="1:7">
      <c r="A760" s="11" t="s">
        <v>28</v>
      </c>
      <c r="B760" s="11" t="s">
        <v>123</v>
      </c>
      <c r="C760" s="11" t="s">
        <v>15</v>
      </c>
      <c r="D760" s="18">
        <v>45840</v>
      </c>
      <c r="E760" s="11" t="s">
        <v>1162</v>
      </c>
      <c r="F760" s="11" t="s">
        <v>428</v>
      </c>
      <c r="G760" s="19">
        <v>9491440</v>
      </c>
    </row>
    <row r="761" spans="1:7">
      <c r="A761" s="11" t="s">
        <v>72</v>
      </c>
      <c r="B761" s="11" t="s">
        <v>192</v>
      </c>
      <c r="C761" s="11" t="s">
        <v>25</v>
      </c>
      <c r="D761" s="18">
        <v>45841</v>
      </c>
      <c r="E761" s="11" t="s">
        <v>1163</v>
      </c>
      <c r="F761" s="11" t="s">
        <v>1164</v>
      </c>
      <c r="G761" s="19">
        <v>60000</v>
      </c>
    </row>
    <row r="762" spans="1:7">
      <c r="A762" s="11" t="s">
        <v>70</v>
      </c>
      <c r="B762" s="11" t="s">
        <v>191</v>
      </c>
      <c r="C762" s="11" t="s">
        <v>25</v>
      </c>
      <c r="D762" s="18">
        <v>45841</v>
      </c>
      <c r="E762" s="11" t="s">
        <v>1165</v>
      </c>
      <c r="F762" s="11" t="s">
        <v>659</v>
      </c>
      <c r="G762" s="19">
        <v>675000</v>
      </c>
    </row>
    <row r="763" spans="1:7">
      <c r="A763" s="11" t="s">
        <v>144</v>
      </c>
      <c r="B763" s="11" t="s">
        <v>150</v>
      </c>
      <c r="C763" s="11" t="s">
        <v>25</v>
      </c>
      <c r="D763" s="18">
        <v>45841</v>
      </c>
      <c r="E763" s="11" t="s">
        <v>1166</v>
      </c>
      <c r="F763" s="11" t="s">
        <v>398</v>
      </c>
      <c r="G763" s="19">
        <v>1150000</v>
      </c>
    </row>
    <row r="764" spans="1:7">
      <c r="A764" s="11" t="s">
        <v>72</v>
      </c>
      <c r="B764" s="11" t="s">
        <v>192</v>
      </c>
      <c r="C764" s="11" t="s">
        <v>25</v>
      </c>
      <c r="D764" s="18">
        <v>45841</v>
      </c>
      <c r="E764" s="11" t="s">
        <v>1166</v>
      </c>
      <c r="F764" s="11" t="s">
        <v>399</v>
      </c>
      <c r="G764" s="19">
        <v>2600000</v>
      </c>
    </row>
    <row r="765" spans="1:7">
      <c r="A765" s="11" t="s">
        <v>144</v>
      </c>
      <c r="B765" s="11" t="s">
        <v>147</v>
      </c>
      <c r="C765" s="11" t="s">
        <v>25</v>
      </c>
      <c r="D765" s="18">
        <v>45841</v>
      </c>
      <c r="E765" s="11" t="s">
        <v>1167</v>
      </c>
      <c r="F765" s="11" t="s">
        <v>445</v>
      </c>
      <c r="G765" s="19">
        <v>1470000</v>
      </c>
    </row>
    <row r="766" spans="1:7">
      <c r="A766" s="11" t="s">
        <v>72</v>
      </c>
      <c r="B766" s="11" t="s">
        <v>192</v>
      </c>
      <c r="C766" s="11" t="s">
        <v>120</v>
      </c>
      <c r="D766" s="18">
        <v>45841</v>
      </c>
      <c r="E766" s="11" t="s">
        <v>1167</v>
      </c>
      <c r="F766" s="11" t="s">
        <v>446</v>
      </c>
      <c r="G766" s="19">
        <v>1295000</v>
      </c>
    </row>
    <row r="767" spans="1:7">
      <c r="A767" s="11" t="s">
        <v>65</v>
      </c>
      <c r="B767" s="11" t="s">
        <v>67</v>
      </c>
      <c r="C767" s="11" t="s">
        <v>25</v>
      </c>
      <c r="D767" s="18">
        <v>45841</v>
      </c>
      <c r="E767" s="11" t="s">
        <v>1168</v>
      </c>
      <c r="F767" s="11" t="s">
        <v>1169</v>
      </c>
      <c r="G767" s="19">
        <v>600000</v>
      </c>
    </row>
    <row r="768" spans="1:7">
      <c r="A768" s="11" t="s">
        <v>83</v>
      </c>
      <c r="B768" s="11" t="s">
        <v>206</v>
      </c>
      <c r="C768" s="11" t="s">
        <v>25</v>
      </c>
      <c r="D768" s="18">
        <v>45841</v>
      </c>
      <c r="E768" s="11" t="s">
        <v>1170</v>
      </c>
      <c r="F768" s="11" t="s">
        <v>1171</v>
      </c>
      <c r="G768" s="19">
        <v>100000</v>
      </c>
    </row>
    <row r="769" spans="1:7">
      <c r="A769" s="11" t="s">
        <v>144</v>
      </c>
      <c r="B769" s="11" t="s">
        <v>148</v>
      </c>
      <c r="C769" s="11" t="s">
        <v>25</v>
      </c>
      <c r="D769" s="18">
        <v>45841</v>
      </c>
      <c r="E769" s="11" t="s">
        <v>1172</v>
      </c>
      <c r="F769" s="11" t="s">
        <v>673</v>
      </c>
      <c r="G769" s="19">
        <v>700000</v>
      </c>
    </row>
    <row r="770" spans="1:7">
      <c r="A770" s="11" t="s">
        <v>144</v>
      </c>
      <c r="B770" s="11" t="s">
        <v>148</v>
      </c>
      <c r="C770" s="11" t="s">
        <v>25</v>
      </c>
      <c r="D770" s="18">
        <v>45841</v>
      </c>
      <c r="E770" s="11" t="s">
        <v>1173</v>
      </c>
      <c r="F770" s="11" t="s">
        <v>695</v>
      </c>
      <c r="G770" s="19">
        <v>735000</v>
      </c>
    </row>
    <row r="771" spans="1:7">
      <c r="A771" s="11" t="s">
        <v>160</v>
      </c>
      <c r="B771" s="11" t="s">
        <v>161</v>
      </c>
      <c r="C771" s="11" t="s">
        <v>25</v>
      </c>
      <c r="D771" s="18">
        <v>45841</v>
      </c>
      <c r="E771" s="11" t="s">
        <v>1174</v>
      </c>
      <c r="F771" s="11" t="s">
        <v>443</v>
      </c>
      <c r="G771" s="19">
        <v>840000</v>
      </c>
    </row>
    <row r="772" spans="1:7">
      <c r="A772" s="11" t="s">
        <v>28</v>
      </c>
      <c r="B772" s="11" t="s">
        <v>125</v>
      </c>
      <c r="C772" s="11" t="s">
        <v>32</v>
      </c>
      <c r="D772" s="18">
        <v>45841</v>
      </c>
      <c r="E772" s="11" t="s">
        <v>1175</v>
      </c>
      <c r="F772" s="11" t="s">
        <v>687</v>
      </c>
      <c r="G772" s="19">
        <v>104500</v>
      </c>
    </row>
    <row r="773" spans="1:7">
      <c r="A773" s="11" t="s">
        <v>160</v>
      </c>
      <c r="B773" s="11" t="s">
        <v>161</v>
      </c>
      <c r="C773" s="11" t="s">
        <v>25</v>
      </c>
      <c r="D773" s="18">
        <v>45841</v>
      </c>
      <c r="E773" s="11" t="s">
        <v>1176</v>
      </c>
      <c r="F773" s="11" t="s">
        <v>448</v>
      </c>
      <c r="G773" s="19">
        <v>1330000</v>
      </c>
    </row>
    <row r="774" spans="1:7">
      <c r="A774" s="11" t="s">
        <v>160</v>
      </c>
      <c r="B774" s="11" t="s">
        <v>161</v>
      </c>
      <c r="C774" s="11" t="s">
        <v>25</v>
      </c>
      <c r="D774" s="18">
        <v>45841</v>
      </c>
      <c r="E774" s="11" t="s">
        <v>1177</v>
      </c>
      <c r="F774" s="11" t="s">
        <v>775</v>
      </c>
      <c r="G774" s="19">
        <v>1260000</v>
      </c>
    </row>
    <row r="775" spans="1:7">
      <c r="A775" s="11" t="s">
        <v>65</v>
      </c>
      <c r="B775" s="11" t="s">
        <v>67</v>
      </c>
      <c r="C775" s="11" t="s">
        <v>13</v>
      </c>
      <c r="D775" s="18">
        <v>45842</v>
      </c>
      <c r="E775" s="11" t="s">
        <v>1178</v>
      </c>
      <c r="F775" s="11" t="s">
        <v>1179</v>
      </c>
      <c r="G775" s="19">
        <v>1200000</v>
      </c>
    </row>
    <row r="776" spans="1:7">
      <c r="A776" s="11" t="s">
        <v>22</v>
      </c>
      <c r="B776" s="11" t="s">
        <v>121</v>
      </c>
      <c r="C776" s="11" t="s">
        <v>122</v>
      </c>
      <c r="D776" s="18">
        <v>45842</v>
      </c>
      <c r="E776" s="11" t="s">
        <v>1180</v>
      </c>
      <c r="F776" s="11" t="s">
        <v>659</v>
      </c>
      <c r="G776" s="19">
        <v>275000</v>
      </c>
    </row>
    <row r="777" spans="1:7">
      <c r="A777" s="11" t="s">
        <v>22</v>
      </c>
      <c r="B777" s="11" t="s">
        <v>121</v>
      </c>
      <c r="C777" s="11" t="s">
        <v>122</v>
      </c>
      <c r="D777" s="18">
        <v>45842</v>
      </c>
      <c r="E777" s="11" t="s">
        <v>1181</v>
      </c>
      <c r="F777" s="11" t="s">
        <v>1182</v>
      </c>
      <c r="G777" s="19">
        <v>3965000</v>
      </c>
    </row>
    <row r="778" spans="1:7">
      <c r="A778" s="11" t="s">
        <v>104</v>
      </c>
      <c r="B778" s="11" t="s">
        <v>108</v>
      </c>
      <c r="C778" s="11" t="s">
        <v>15</v>
      </c>
      <c r="D778" s="18">
        <v>45845</v>
      </c>
      <c r="E778" s="11" t="s">
        <v>1183</v>
      </c>
      <c r="F778" s="11" t="s">
        <v>255</v>
      </c>
      <c r="G778" s="19">
        <v>38340</v>
      </c>
    </row>
    <row r="779" spans="1:7">
      <c r="A779" s="11" t="s">
        <v>74</v>
      </c>
      <c r="B779" s="11" t="s">
        <v>193</v>
      </c>
      <c r="C779" s="11" t="s">
        <v>31</v>
      </c>
      <c r="D779" s="18">
        <v>45845</v>
      </c>
      <c r="E779" s="11" t="s">
        <v>1184</v>
      </c>
      <c r="F779" s="11" t="s">
        <v>530</v>
      </c>
      <c r="G779" s="19">
        <v>1235970</v>
      </c>
    </row>
    <row r="780" spans="1:7">
      <c r="A780" s="11" t="s">
        <v>65</v>
      </c>
      <c r="B780" s="11" t="s">
        <v>67</v>
      </c>
      <c r="C780" s="11" t="s">
        <v>25</v>
      </c>
      <c r="D780" s="18">
        <v>45845</v>
      </c>
      <c r="E780" s="11" t="s">
        <v>1185</v>
      </c>
      <c r="F780" s="11" t="s">
        <v>1186</v>
      </c>
      <c r="G780" s="19">
        <v>600000</v>
      </c>
    </row>
    <row r="781" spans="1:7">
      <c r="A781" s="11" t="s">
        <v>144</v>
      </c>
      <c r="B781" s="11" t="s">
        <v>51</v>
      </c>
      <c r="C781" s="11" t="s">
        <v>25</v>
      </c>
      <c r="D781" s="18">
        <v>45845</v>
      </c>
      <c r="E781" s="11" t="s">
        <v>1187</v>
      </c>
      <c r="F781" s="11" t="s">
        <v>1188</v>
      </c>
      <c r="G781" s="19">
        <v>90000</v>
      </c>
    </row>
    <row r="782" spans="1:7">
      <c r="A782" s="11" t="s">
        <v>144</v>
      </c>
      <c r="B782" s="11" t="s">
        <v>49</v>
      </c>
      <c r="C782" s="11" t="s">
        <v>50</v>
      </c>
      <c r="D782" s="18">
        <v>45846</v>
      </c>
      <c r="E782" s="11" t="s">
        <v>1189</v>
      </c>
      <c r="F782" s="11" t="s">
        <v>558</v>
      </c>
      <c r="G782" s="19">
        <v>102340</v>
      </c>
    </row>
    <row r="783" spans="1:7">
      <c r="A783" s="11" t="s">
        <v>144</v>
      </c>
      <c r="B783" s="11" t="s">
        <v>49</v>
      </c>
      <c r="C783" s="11" t="s">
        <v>50</v>
      </c>
      <c r="D783" s="18">
        <v>45846</v>
      </c>
      <c r="E783" s="11" t="s">
        <v>1190</v>
      </c>
      <c r="F783" s="11" t="s">
        <v>558</v>
      </c>
      <c r="G783" s="19">
        <v>30180</v>
      </c>
    </row>
    <row r="784" spans="1:7">
      <c r="A784" s="11" t="s">
        <v>17</v>
      </c>
      <c r="B784" s="11" t="s">
        <v>118</v>
      </c>
      <c r="C784" s="11" t="s">
        <v>14</v>
      </c>
      <c r="D784" s="18">
        <v>45846</v>
      </c>
      <c r="E784" s="11" t="s">
        <v>1191</v>
      </c>
      <c r="F784" s="11" t="s">
        <v>718</v>
      </c>
      <c r="G784" s="19">
        <v>120000</v>
      </c>
    </row>
    <row r="785" spans="1:7">
      <c r="A785" s="11" t="s">
        <v>144</v>
      </c>
      <c r="B785" s="11" t="s">
        <v>146</v>
      </c>
      <c r="C785" s="11" t="s">
        <v>13</v>
      </c>
      <c r="D785" s="18">
        <v>45846</v>
      </c>
      <c r="E785" s="11" t="s">
        <v>1192</v>
      </c>
      <c r="F785" s="11" t="s">
        <v>484</v>
      </c>
      <c r="G785" s="19">
        <v>280800</v>
      </c>
    </row>
    <row r="786" spans="1:7">
      <c r="A786" s="11" t="s">
        <v>55</v>
      </c>
      <c r="B786" s="11" t="s">
        <v>165</v>
      </c>
      <c r="C786" s="11" t="s">
        <v>13</v>
      </c>
      <c r="D786" s="18">
        <v>45846</v>
      </c>
      <c r="E786" s="11" t="s">
        <v>1193</v>
      </c>
      <c r="F786" s="11" t="s">
        <v>1194</v>
      </c>
      <c r="G786" s="19">
        <v>480000</v>
      </c>
    </row>
    <row r="787" spans="1:7">
      <c r="A787" s="11" t="s">
        <v>104</v>
      </c>
      <c r="B787" s="11" t="s">
        <v>108</v>
      </c>
      <c r="C787" s="11" t="s">
        <v>12</v>
      </c>
      <c r="D787" s="18">
        <v>45846</v>
      </c>
      <c r="E787" s="11" t="s">
        <v>1195</v>
      </c>
      <c r="F787" s="11" t="s">
        <v>285</v>
      </c>
      <c r="G787" s="19">
        <v>9000</v>
      </c>
    </row>
    <row r="788" spans="1:7">
      <c r="A788" s="11" t="s">
        <v>104</v>
      </c>
      <c r="B788" s="11" t="s">
        <v>108</v>
      </c>
      <c r="C788" s="11" t="s">
        <v>12</v>
      </c>
      <c r="D788" s="18">
        <v>45846</v>
      </c>
      <c r="E788" s="11" t="s">
        <v>1196</v>
      </c>
      <c r="F788" s="11" t="s">
        <v>1197</v>
      </c>
      <c r="G788" s="19">
        <v>9000</v>
      </c>
    </row>
    <row r="789" spans="1:7">
      <c r="A789" s="11" t="s">
        <v>168</v>
      </c>
      <c r="B789" s="11" t="s">
        <v>58</v>
      </c>
      <c r="C789" s="11" t="s">
        <v>13</v>
      </c>
      <c r="D789" s="18">
        <v>45846</v>
      </c>
      <c r="E789" s="11" t="s">
        <v>1198</v>
      </c>
      <c r="F789" s="11" t="s">
        <v>486</v>
      </c>
      <c r="G789" s="19">
        <v>27500</v>
      </c>
    </row>
    <row r="790" spans="1:7">
      <c r="A790" s="11" t="s">
        <v>104</v>
      </c>
      <c r="B790" s="11" t="s">
        <v>108</v>
      </c>
      <c r="C790" s="11" t="s">
        <v>15</v>
      </c>
      <c r="D790" s="18">
        <v>45846</v>
      </c>
      <c r="E790" s="11" t="s">
        <v>1199</v>
      </c>
      <c r="F790" s="11" t="s">
        <v>1200</v>
      </c>
      <c r="G790" s="19">
        <v>38500</v>
      </c>
    </row>
    <row r="791" spans="1:7">
      <c r="A791" s="11" t="s">
        <v>144</v>
      </c>
      <c r="B791" s="11" t="s">
        <v>49</v>
      </c>
      <c r="C791" s="11" t="s">
        <v>50</v>
      </c>
      <c r="D791" s="18">
        <v>45846</v>
      </c>
      <c r="E791" s="11" t="s">
        <v>1201</v>
      </c>
      <c r="F791" s="11" t="s">
        <v>283</v>
      </c>
      <c r="G791" s="19">
        <v>118200</v>
      </c>
    </row>
    <row r="792" spans="1:7">
      <c r="A792" s="11" t="s">
        <v>72</v>
      </c>
      <c r="B792" s="11" t="s">
        <v>192</v>
      </c>
      <c r="C792" s="11" t="s">
        <v>34</v>
      </c>
      <c r="D792" s="18">
        <v>45846</v>
      </c>
      <c r="E792" s="11" t="s">
        <v>1202</v>
      </c>
      <c r="F792" s="11" t="s">
        <v>558</v>
      </c>
      <c r="G792" s="19">
        <v>29400</v>
      </c>
    </row>
    <row r="793" spans="1:7">
      <c r="A793" s="11" t="s">
        <v>101</v>
      </c>
      <c r="B793" s="11" t="s">
        <v>211</v>
      </c>
      <c r="C793" s="11" t="s">
        <v>15</v>
      </c>
      <c r="D793" s="18">
        <v>45846</v>
      </c>
      <c r="E793" s="11" t="s">
        <v>1203</v>
      </c>
      <c r="F793" s="11" t="s">
        <v>486</v>
      </c>
      <c r="G793" s="19">
        <v>196000</v>
      </c>
    </row>
    <row r="794" spans="1:7">
      <c r="A794" s="11" t="s">
        <v>43</v>
      </c>
      <c r="B794" s="11" t="s">
        <v>141</v>
      </c>
      <c r="C794" s="11" t="s">
        <v>64</v>
      </c>
      <c r="D794" s="18">
        <v>45846</v>
      </c>
      <c r="E794" s="11" t="s">
        <v>1204</v>
      </c>
      <c r="F794" s="11" t="s">
        <v>451</v>
      </c>
      <c r="G794" s="19">
        <v>102000</v>
      </c>
    </row>
    <row r="795" spans="1:7">
      <c r="A795" s="11" t="s">
        <v>104</v>
      </c>
      <c r="B795" s="11" t="s">
        <v>108</v>
      </c>
      <c r="C795" s="11" t="s">
        <v>12</v>
      </c>
      <c r="D795" s="18">
        <v>45846</v>
      </c>
      <c r="E795" s="11" t="s">
        <v>1205</v>
      </c>
      <c r="F795" s="11" t="s">
        <v>285</v>
      </c>
      <c r="G795" s="19">
        <v>9000</v>
      </c>
    </row>
    <row r="796" spans="1:7">
      <c r="A796" s="11" t="s">
        <v>87</v>
      </c>
      <c r="B796" s="11" t="s">
        <v>95</v>
      </c>
      <c r="C796" s="11" t="s">
        <v>15</v>
      </c>
      <c r="D796" s="18">
        <v>45846</v>
      </c>
      <c r="E796" s="11" t="s">
        <v>1206</v>
      </c>
      <c r="F796" s="11" t="s">
        <v>247</v>
      </c>
      <c r="G796" s="19">
        <v>143000</v>
      </c>
    </row>
    <row r="797" spans="1:7">
      <c r="A797" s="11" t="s">
        <v>144</v>
      </c>
      <c r="B797" s="11" t="s">
        <v>146</v>
      </c>
      <c r="C797" s="11" t="s">
        <v>13</v>
      </c>
      <c r="D797" s="18">
        <v>45846</v>
      </c>
      <c r="E797" s="11" t="s">
        <v>1207</v>
      </c>
      <c r="F797" s="11" t="s">
        <v>295</v>
      </c>
      <c r="G797" s="19">
        <v>42500</v>
      </c>
    </row>
    <row r="798" spans="1:7">
      <c r="A798" s="11" t="s">
        <v>173</v>
      </c>
      <c r="B798" s="11" t="s">
        <v>180</v>
      </c>
      <c r="C798" s="11" t="s">
        <v>13</v>
      </c>
      <c r="D798" s="18">
        <v>45846</v>
      </c>
      <c r="E798" s="11" t="s">
        <v>1208</v>
      </c>
      <c r="F798" s="11" t="s">
        <v>295</v>
      </c>
      <c r="G798" s="19">
        <v>323050</v>
      </c>
    </row>
    <row r="799" spans="1:7">
      <c r="A799" s="11" t="s">
        <v>144</v>
      </c>
      <c r="B799" s="11" t="s">
        <v>146</v>
      </c>
      <c r="C799" s="11" t="s">
        <v>13</v>
      </c>
      <c r="D799" s="18">
        <v>45846</v>
      </c>
      <c r="E799" s="11" t="s">
        <v>1209</v>
      </c>
      <c r="F799" s="11" t="s">
        <v>484</v>
      </c>
      <c r="G799" s="19">
        <v>92880</v>
      </c>
    </row>
    <row r="800" spans="1:7">
      <c r="A800" s="11" t="s">
        <v>11</v>
      </c>
      <c r="B800" s="11" t="s">
        <v>115</v>
      </c>
      <c r="C800" s="11" t="s">
        <v>15</v>
      </c>
      <c r="D800" s="18">
        <v>45846</v>
      </c>
      <c r="E800" s="11" t="s">
        <v>1210</v>
      </c>
      <c r="F800" s="11" t="s">
        <v>484</v>
      </c>
      <c r="G800" s="19">
        <v>54000</v>
      </c>
    </row>
    <row r="801" spans="1:7">
      <c r="A801" s="11" t="s">
        <v>52</v>
      </c>
      <c r="B801" s="11" t="s">
        <v>53</v>
      </c>
      <c r="C801" s="11" t="s">
        <v>13</v>
      </c>
      <c r="D801" s="18">
        <v>45846</v>
      </c>
      <c r="E801" s="11" t="s">
        <v>1211</v>
      </c>
      <c r="F801" s="11" t="s">
        <v>486</v>
      </c>
      <c r="G801" s="19">
        <v>2980</v>
      </c>
    </row>
    <row r="802" spans="1:7">
      <c r="A802" s="11" t="s">
        <v>11</v>
      </c>
      <c r="B802" s="11" t="s">
        <v>114</v>
      </c>
      <c r="C802" s="11" t="s">
        <v>14</v>
      </c>
      <c r="D802" s="18">
        <v>45846</v>
      </c>
      <c r="E802" s="11" t="s">
        <v>1212</v>
      </c>
      <c r="F802" s="11" t="s">
        <v>228</v>
      </c>
      <c r="G802" s="19">
        <v>210000</v>
      </c>
    </row>
    <row r="803" spans="1:7">
      <c r="A803" s="11" t="s">
        <v>104</v>
      </c>
      <c r="B803" s="11" t="s">
        <v>108</v>
      </c>
      <c r="C803" s="11" t="s">
        <v>15</v>
      </c>
      <c r="D803" s="18">
        <v>45846</v>
      </c>
      <c r="E803" s="11" t="s">
        <v>1213</v>
      </c>
      <c r="F803" s="11" t="s">
        <v>1214</v>
      </c>
      <c r="G803" s="19">
        <v>88000</v>
      </c>
    </row>
    <row r="804" spans="1:7">
      <c r="A804" s="11" t="s">
        <v>104</v>
      </c>
      <c r="B804" s="11" t="s">
        <v>108</v>
      </c>
      <c r="C804" s="11" t="s">
        <v>14</v>
      </c>
      <c r="D804" s="18">
        <v>45846</v>
      </c>
      <c r="E804" s="11" t="s">
        <v>1215</v>
      </c>
      <c r="F804" s="11" t="s">
        <v>1216</v>
      </c>
      <c r="G804" s="19">
        <v>239000</v>
      </c>
    </row>
    <row r="805" spans="1:7">
      <c r="A805" s="11" t="s">
        <v>144</v>
      </c>
      <c r="B805" s="11" t="s">
        <v>146</v>
      </c>
      <c r="C805" s="11" t="s">
        <v>13</v>
      </c>
      <c r="D805" s="18">
        <v>45846</v>
      </c>
      <c r="E805" s="11" t="s">
        <v>1217</v>
      </c>
      <c r="F805" s="11" t="s">
        <v>558</v>
      </c>
      <c r="G805" s="19">
        <v>227500</v>
      </c>
    </row>
    <row r="806" spans="1:7">
      <c r="A806" s="11" t="s">
        <v>144</v>
      </c>
      <c r="B806" s="11" t="s">
        <v>146</v>
      </c>
      <c r="C806" s="11" t="s">
        <v>13</v>
      </c>
      <c r="D806" s="18">
        <v>45846</v>
      </c>
      <c r="E806" s="11" t="s">
        <v>1218</v>
      </c>
      <c r="F806" s="11" t="s">
        <v>295</v>
      </c>
      <c r="G806" s="19">
        <v>506510</v>
      </c>
    </row>
    <row r="807" spans="1:7">
      <c r="A807" s="11" t="s">
        <v>200</v>
      </c>
      <c r="B807" s="11" t="s">
        <v>203</v>
      </c>
      <c r="C807" s="11" t="s">
        <v>15</v>
      </c>
      <c r="D807" s="18">
        <v>45846</v>
      </c>
      <c r="E807" s="11" t="s">
        <v>1219</v>
      </c>
      <c r="F807" s="11" t="s">
        <v>1220</v>
      </c>
      <c r="G807" s="19">
        <v>199990</v>
      </c>
    </row>
    <row r="808" spans="1:7">
      <c r="A808" s="11" t="s">
        <v>65</v>
      </c>
      <c r="B808" s="11" t="s">
        <v>67</v>
      </c>
      <c r="C808" s="11" t="s">
        <v>13</v>
      </c>
      <c r="D808" s="18">
        <v>45846</v>
      </c>
      <c r="E808" s="11" t="s">
        <v>1221</v>
      </c>
      <c r="F808" s="11" t="s">
        <v>558</v>
      </c>
      <c r="G808" s="19">
        <v>38500</v>
      </c>
    </row>
    <row r="809" spans="1:7">
      <c r="A809" s="11" t="s">
        <v>52</v>
      </c>
      <c r="B809" s="11" t="s">
        <v>53</v>
      </c>
      <c r="C809" s="11" t="s">
        <v>13</v>
      </c>
      <c r="D809" s="18">
        <v>45846</v>
      </c>
      <c r="E809" s="11" t="s">
        <v>1222</v>
      </c>
      <c r="F809" s="11" t="s">
        <v>486</v>
      </c>
      <c r="G809" s="19">
        <v>91520</v>
      </c>
    </row>
    <row r="810" spans="1:7">
      <c r="A810" s="11" t="s">
        <v>104</v>
      </c>
      <c r="B810" s="11" t="s">
        <v>108</v>
      </c>
      <c r="C810" s="11" t="s">
        <v>12</v>
      </c>
      <c r="D810" s="18">
        <v>45846</v>
      </c>
      <c r="E810" s="11" t="s">
        <v>1223</v>
      </c>
      <c r="F810" s="11" t="s">
        <v>1197</v>
      </c>
      <c r="G810" s="19">
        <v>36000</v>
      </c>
    </row>
    <row r="811" spans="1:7">
      <c r="A811" s="11" t="s">
        <v>52</v>
      </c>
      <c r="B811" s="11" t="s">
        <v>53</v>
      </c>
      <c r="C811" s="11" t="s">
        <v>13</v>
      </c>
      <c r="D811" s="18">
        <v>45846</v>
      </c>
      <c r="E811" s="11" t="s">
        <v>1224</v>
      </c>
      <c r="F811" s="11" t="s">
        <v>283</v>
      </c>
      <c r="G811" s="19">
        <v>73330</v>
      </c>
    </row>
    <row r="812" spans="1:7">
      <c r="A812" s="11" t="s">
        <v>144</v>
      </c>
      <c r="B812" s="11" t="s">
        <v>146</v>
      </c>
      <c r="C812" s="11" t="s">
        <v>13</v>
      </c>
      <c r="D812" s="18">
        <v>45846</v>
      </c>
      <c r="E812" s="11" t="s">
        <v>1225</v>
      </c>
      <c r="F812" s="11" t="s">
        <v>586</v>
      </c>
      <c r="G812" s="19">
        <v>125200</v>
      </c>
    </row>
    <row r="813" spans="1:7">
      <c r="A813" s="11" t="s">
        <v>17</v>
      </c>
      <c r="B813" s="11" t="s">
        <v>118</v>
      </c>
      <c r="C813" s="11" t="s">
        <v>14</v>
      </c>
      <c r="D813" s="18">
        <v>45846</v>
      </c>
      <c r="E813" s="11" t="s">
        <v>1226</v>
      </c>
      <c r="F813" s="11" t="s">
        <v>1227</v>
      </c>
      <c r="G813" s="19">
        <v>85000</v>
      </c>
    </row>
    <row r="814" spans="1:7">
      <c r="A814" s="11" t="s">
        <v>144</v>
      </c>
      <c r="B814" s="11" t="s">
        <v>146</v>
      </c>
      <c r="C814" s="11" t="s">
        <v>13</v>
      </c>
      <c r="D814" s="18">
        <v>45846</v>
      </c>
      <c r="E814" s="11" t="s">
        <v>1228</v>
      </c>
      <c r="F814" s="11" t="s">
        <v>276</v>
      </c>
      <c r="G814" s="19">
        <v>24180</v>
      </c>
    </row>
    <row r="815" spans="1:7">
      <c r="A815" s="11" t="s">
        <v>52</v>
      </c>
      <c r="B815" s="11" t="s">
        <v>53</v>
      </c>
      <c r="C815" s="11" t="s">
        <v>13</v>
      </c>
      <c r="D815" s="18">
        <v>45846</v>
      </c>
      <c r="E815" s="11" t="s">
        <v>1229</v>
      </c>
      <c r="F815" s="11" t="s">
        <v>272</v>
      </c>
      <c r="G815" s="19">
        <v>42900</v>
      </c>
    </row>
    <row r="816" spans="1:7">
      <c r="A816" s="11" t="s">
        <v>144</v>
      </c>
      <c r="B816" s="11" t="s">
        <v>146</v>
      </c>
      <c r="C816" s="11" t="s">
        <v>13</v>
      </c>
      <c r="D816" s="18">
        <v>45846</v>
      </c>
      <c r="E816" s="11" t="s">
        <v>1230</v>
      </c>
      <c r="F816" s="11" t="s">
        <v>1231</v>
      </c>
      <c r="G816" s="19">
        <v>73080</v>
      </c>
    </row>
    <row r="817" spans="1:7">
      <c r="A817" s="11" t="s">
        <v>144</v>
      </c>
      <c r="B817" s="11" t="s">
        <v>146</v>
      </c>
      <c r="C817" s="11" t="s">
        <v>13</v>
      </c>
      <c r="D817" s="18">
        <v>45846</v>
      </c>
      <c r="E817" s="11" t="s">
        <v>1232</v>
      </c>
      <c r="F817" s="11" t="s">
        <v>555</v>
      </c>
      <c r="G817" s="19">
        <v>140650</v>
      </c>
    </row>
    <row r="818" spans="1:7">
      <c r="A818" s="11" t="s">
        <v>144</v>
      </c>
      <c r="B818" s="11" t="s">
        <v>146</v>
      </c>
      <c r="C818" s="11" t="s">
        <v>13</v>
      </c>
      <c r="D818" s="18">
        <v>45846</v>
      </c>
      <c r="E818" s="11" t="s">
        <v>1233</v>
      </c>
      <c r="F818" s="11" t="s">
        <v>963</v>
      </c>
      <c r="G818" s="19">
        <v>224980</v>
      </c>
    </row>
    <row r="819" spans="1:7">
      <c r="A819" s="11" t="s">
        <v>144</v>
      </c>
      <c r="B819" s="11" t="s">
        <v>146</v>
      </c>
      <c r="C819" s="11" t="s">
        <v>13</v>
      </c>
      <c r="D819" s="18">
        <v>45846</v>
      </c>
      <c r="E819" s="11" t="s">
        <v>1234</v>
      </c>
      <c r="F819" s="11" t="s">
        <v>586</v>
      </c>
      <c r="G819" s="19">
        <v>169950</v>
      </c>
    </row>
    <row r="820" spans="1:7">
      <c r="A820" s="11" t="s">
        <v>144</v>
      </c>
      <c r="B820" s="11" t="s">
        <v>146</v>
      </c>
      <c r="C820" s="11" t="s">
        <v>13</v>
      </c>
      <c r="D820" s="18">
        <v>45846</v>
      </c>
      <c r="E820" s="11" t="s">
        <v>1235</v>
      </c>
      <c r="F820" s="11" t="s">
        <v>295</v>
      </c>
      <c r="G820" s="19">
        <v>106000</v>
      </c>
    </row>
    <row r="821" spans="1:7">
      <c r="A821" s="11" t="s">
        <v>104</v>
      </c>
      <c r="B821" s="11" t="s">
        <v>108</v>
      </c>
      <c r="C821" s="11" t="s">
        <v>12</v>
      </c>
      <c r="D821" s="18">
        <v>45846</v>
      </c>
      <c r="E821" s="11" t="s">
        <v>1236</v>
      </c>
      <c r="F821" s="11" t="s">
        <v>285</v>
      </c>
      <c r="G821" s="19">
        <v>9000</v>
      </c>
    </row>
    <row r="822" spans="1:7">
      <c r="A822" s="11" t="s">
        <v>104</v>
      </c>
      <c r="B822" s="11" t="s">
        <v>108</v>
      </c>
      <c r="C822" s="11" t="s">
        <v>12</v>
      </c>
      <c r="D822" s="18">
        <v>45846</v>
      </c>
      <c r="E822" s="11" t="s">
        <v>1237</v>
      </c>
      <c r="F822" s="11" t="s">
        <v>1238</v>
      </c>
      <c r="G822" s="19">
        <v>9000</v>
      </c>
    </row>
    <row r="823" spans="1:7">
      <c r="A823" s="11" t="s">
        <v>104</v>
      </c>
      <c r="B823" s="11" t="s">
        <v>108</v>
      </c>
      <c r="C823" s="11" t="s">
        <v>12</v>
      </c>
      <c r="D823" s="18">
        <v>45846</v>
      </c>
      <c r="E823" s="11" t="s">
        <v>1239</v>
      </c>
      <c r="F823" s="11" t="s">
        <v>285</v>
      </c>
      <c r="G823" s="19">
        <v>8600</v>
      </c>
    </row>
    <row r="824" spans="1:7">
      <c r="A824" s="11" t="s">
        <v>52</v>
      </c>
      <c r="B824" s="11" t="s">
        <v>156</v>
      </c>
      <c r="C824" s="11" t="s">
        <v>13</v>
      </c>
      <c r="D824" s="18">
        <v>45846</v>
      </c>
      <c r="E824" s="11" t="s">
        <v>1240</v>
      </c>
      <c r="F824" s="11" t="s">
        <v>283</v>
      </c>
      <c r="G824" s="19">
        <v>222400</v>
      </c>
    </row>
    <row r="825" spans="1:7">
      <c r="A825" s="11" t="s">
        <v>104</v>
      </c>
      <c r="B825" s="11" t="s">
        <v>108</v>
      </c>
      <c r="C825" s="11" t="s">
        <v>12</v>
      </c>
      <c r="D825" s="18">
        <v>45846</v>
      </c>
      <c r="E825" s="11" t="s">
        <v>1241</v>
      </c>
      <c r="F825" s="11" t="s">
        <v>1238</v>
      </c>
      <c r="G825" s="19">
        <v>27000</v>
      </c>
    </row>
    <row r="826" spans="1:7">
      <c r="A826" s="11" t="s">
        <v>43</v>
      </c>
      <c r="B826" s="11" t="s">
        <v>139</v>
      </c>
      <c r="C826" s="11" t="s">
        <v>13</v>
      </c>
      <c r="D826" s="18">
        <v>45846</v>
      </c>
      <c r="E826" s="11" t="s">
        <v>1242</v>
      </c>
      <c r="F826" s="11" t="s">
        <v>1243</v>
      </c>
      <c r="G826" s="19">
        <v>60890</v>
      </c>
    </row>
    <row r="827" spans="1:7">
      <c r="A827" s="11" t="s">
        <v>173</v>
      </c>
      <c r="B827" s="11" t="s">
        <v>180</v>
      </c>
      <c r="C827" s="11" t="s">
        <v>13</v>
      </c>
      <c r="D827" s="18">
        <v>45846</v>
      </c>
      <c r="E827" s="11" t="s">
        <v>1244</v>
      </c>
      <c r="F827" s="11" t="s">
        <v>267</v>
      </c>
      <c r="G827" s="19">
        <v>1139600</v>
      </c>
    </row>
    <row r="828" spans="1:7">
      <c r="A828" s="11" t="s">
        <v>173</v>
      </c>
      <c r="B828" s="11" t="s">
        <v>180</v>
      </c>
      <c r="C828" s="11" t="s">
        <v>13</v>
      </c>
      <c r="D828" s="18">
        <v>45846</v>
      </c>
      <c r="E828" s="11" t="s">
        <v>1245</v>
      </c>
      <c r="F828" s="11" t="s">
        <v>267</v>
      </c>
      <c r="G828" s="19">
        <v>214500</v>
      </c>
    </row>
    <row r="829" spans="1:7">
      <c r="A829" s="11" t="s">
        <v>22</v>
      </c>
      <c r="B829" s="11" t="s">
        <v>119</v>
      </c>
      <c r="C829" s="11" t="s">
        <v>120</v>
      </c>
      <c r="D829" s="18">
        <v>45846</v>
      </c>
      <c r="E829" s="11" t="s">
        <v>1246</v>
      </c>
      <c r="F829" s="11" t="s">
        <v>358</v>
      </c>
      <c r="G829" s="19">
        <v>24470</v>
      </c>
    </row>
    <row r="830" spans="1:7">
      <c r="A830" s="11" t="s">
        <v>65</v>
      </c>
      <c r="B830" s="11" t="s">
        <v>67</v>
      </c>
      <c r="C830" s="11" t="s">
        <v>120</v>
      </c>
      <c r="D830" s="18">
        <v>45846</v>
      </c>
      <c r="E830" s="11" t="s">
        <v>1246</v>
      </c>
      <c r="F830" s="11" t="s">
        <v>358</v>
      </c>
      <c r="G830" s="19">
        <v>73420</v>
      </c>
    </row>
    <row r="831" spans="1:7">
      <c r="A831" s="11" t="s">
        <v>144</v>
      </c>
      <c r="B831" s="11" t="s">
        <v>146</v>
      </c>
      <c r="C831" s="11" t="s">
        <v>13</v>
      </c>
      <c r="D831" s="18">
        <v>45847</v>
      </c>
      <c r="E831" s="11" t="s">
        <v>1247</v>
      </c>
      <c r="F831" s="11" t="s">
        <v>295</v>
      </c>
      <c r="G831" s="19">
        <v>732750</v>
      </c>
    </row>
    <row r="832" spans="1:7">
      <c r="A832" s="11" t="s">
        <v>200</v>
      </c>
      <c r="B832" s="11" t="s">
        <v>82</v>
      </c>
      <c r="C832" s="11" t="s">
        <v>13</v>
      </c>
      <c r="D832" s="18">
        <v>45847</v>
      </c>
      <c r="E832" s="11" t="s">
        <v>1248</v>
      </c>
      <c r="F832" s="11" t="s">
        <v>1249</v>
      </c>
      <c r="G832" s="19">
        <v>270000</v>
      </c>
    </row>
    <row r="833" spans="1:7">
      <c r="A833" s="11" t="s">
        <v>43</v>
      </c>
      <c r="B833" s="11" t="s">
        <v>141</v>
      </c>
      <c r="C833" s="11" t="s">
        <v>13</v>
      </c>
      <c r="D833" s="18">
        <v>45847</v>
      </c>
      <c r="E833" s="11" t="s">
        <v>1250</v>
      </c>
      <c r="F833" s="11" t="s">
        <v>1249</v>
      </c>
      <c r="G833" s="19">
        <v>84000</v>
      </c>
    </row>
    <row r="834" spans="1:7">
      <c r="A834" s="11" t="s">
        <v>65</v>
      </c>
      <c r="B834" s="11" t="s">
        <v>67</v>
      </c>
      <c r="C834" s="11" t="s">
        <v>120</v>
      </c>
      <c r="D834" s="18">
        <v>45848</v>
      </c>
      <c r="E834" s="11" t="s">
        <v>1251</v>
      </c>
      <c r="F834" s="11" t="s">
        <v>358</v>
      </c>
      <c r="G834" s="19">
        <v>73420</v>
      </c>
    </row>
    <row r="835" spans="1:7">
      <c r="A835" s="11" t="s">
        <v>22</v>
      </c>
      <c r="B835" s="11" t="s">
        <v>119</v>
      </c>
      <c r="C835" s="11" t="s">
        <v>120</v>
      </c>
      <c r="D835" s="18">
        <v>45848</v>
      </c>
      <c r="E835" s="11" t="s">
        <v>1251</v>
      </c>
      <c r="F835" s="11" t="s">
        <v>358</v>
      </c>
      <c r="G835" s="19">
        <v>24470</v>
      </c>
    </row>
    <row r="836" spans="1:7">
      <c r="A836" s="11" t="s">
        <v>65</v>
      </c>
      <c r="B836" s="11" t="s">
        <v>67</v>
      </c>
      <c r="C836" s="11" t="s">
        <v>25</v>
      </c>
      <c r="D836" s="18">
        <v>45848</v>
      </c>
      <c r="E836" s="11" t="s">
        <v>1252</v>
      </c>
      <c r="F836" s="11" t="s">
        <v>1253</v>
      </c>
      <c r="G836" s="19">
        <v>600000</v>
      </c>
    </row>
    <row r="837" spans="1:7">
      <c r="A837" s="11" t="s">
        <v>65</v>
      </c>
      <c r="B837" s="11" t="s">
        <v>67</v>
      </c>
      <c r="C837" s="11" t="s">
        <v>25</v>
      </c>
      <c r="D837" s="18">
        <v>45848</v>
      </c>
      <c r="E837" s="11" t="s">
        <v>1254</v>
      </c>
      <c r="F837" s="11" t="s">
        <v>1255</v>
      </c>
      <c r="G837" s="19">
        <v>700000</v>
      </c>
    </row>
    <row r="838" spans="1:7">
      <c r="A838" s="11" t="s">
        <v>104</v>
      </c>
      <c r="B838" s="11" t="s">
        <v>108</v>
      </c>
      <c r="C838" s="11" t="s">
        <v>44</v>
      </c>
      <c r="D838" s="18">
        <v>45848</v>
      </c>
      <c r="E838" s="11" t="s">
        <v>1256</v>
      </c>
      <c r="F838" s="11" t="s">
        <v>1257</v>
      </c>
      <c r="G838" s="19">
        <v>220000</v>
      </c>
    </row>
    <row r="839" spans="1:7">
      <c r="A839" s="11" t="s">
        <v>55</v>
      </c>
      <c r="B839" s="11" t="s">
        <v>165</v>
      </c>
      <c r="C839" s="11" t="s">
        <v>44</v>
      </c>
      <c r="D839" s="18">
        <v>45848</v>
      </c>
      <c r="E839" s="11" t="s">
        <v>1256</v>
      </c>
      <c r="F839" s="11" t="s">
        <v>1258</v>
      </c>
      <c r="G839" s="19">
        <v>70000</v>
      </c>
    </row>
    <row r="840" spans="1:7">
      <c r="A840" s="11" t="s">
        <v>43</v>
      </c>
      <c r="B840" s="11" t="s">
        <v>139</v>
      </c>
      <c r="C840" s="11" t="s">
        <v>44</v>
      </c>
      <c r="D840" s="18">
        <v>45848</v>
      </c>
      <c r="E840" s="11" t="s">
        <v>1256</v>
      </c>
      <c r="F840" s="11" t="s">
        <v>435</v>
      </c>
      <c r="G840" s="19">
        <v>20000</v>
      </c>
    </row>
    <row r="841" spans="1:7">
      <c r="A841" s="11" t="s">
        <v>43</v>
      </c>
      <c r="B841" s="11" t="s">
        <v>139</v>
      </c>
      <c r="C841" s="11" t="s">
        <v>44</v>
      </c>
      <c r="D841" s="18">
        <v>45848</v>
      </c>
      <c r="E841" s="11" t="s">
        <v>1259</v>
      </c>
      <c r="F841" s="11" t="s">
        <v>435</v>
      </c>
      <c r="G841" s="19">
        <v>37500</v>
      </c>
    </row>
    <row r="842" spans="1:7">
      <c r="A842" s="11" t="s">
        <v>62</v>
      </c>
      <c r="B842" s="11" t="s">
        <v>171</v>
      </c>
      <c r="C842" s="11" t="s">
        <v>25</v>
      </c>
      <c r="D842" s="18">
        <v>45849</v>
      </c>
      <c r="E842" s="11" t="s">
        <v>1260</v>
      </c>
      <c r="F842" s="11" t="s">
        <v>538</v>
      </c>
      <c r="G842" s="19">
        <v>25425350</v>
      </c>
    </row>
    <row r="843" spans="1:7">
      <c r="A843" s="11" t="s">
        <v>62</v>
      </c>
      <c r="B843" s="11" t="s">
        <v>172</v>
      </c>
      <c r="C843" s="11" t="s">
        <v>25</v>
      </c>
      <c r="D843" s="18">
        <v>45849</v>
      </c>
      <c r="E843" s="11" t="s">
        <v>1260</v>
      </c>
      <c r="F843" s="11" t="s">
        <v>538</v>
      </c>
      <c r="G843" s="19">
        <v>2256630</v>
      </c>
    </row>
    <row r="844" spans="1:7">
      <c r="A844" s="11" t="s">
        <v>173</v>
      </c>
      <c r="B844" s="11" t="s">
        <v>182</v>
      </c>
      <c r="C844" s="11" t="s">
        <v>25</v>
      </c>
      <c r="D844" s="18">
        <v>45849</v>
      </c>
      <c r="E844" s="11" t="s">
        <v>1260</v>
      </c>
      <c r="F844" s="11" t="s">
        <v>538</v>
      </c>
      <c r="G844" s="19">
        <v>2192310</v>
      </c>
    </row>
    <row r="845" spans="1:7">
      <c r="A845" s="11" t="s">
        <v>43</v>
      </c>
      <c r="B845" s="11" t="s">
        <v>139</v>
      </c>
      <c r="C845" s="11" t="s">
        <v>15</v>
      </c>
      <c r="D845" s="18">
        <v>45849</v>
      </c>
      <c r="E845" s="11" t="s">
        <v>1261</v>
      </c>
      <c r="F845" s="11" t="s">
        <v>243</v>
      </c>
      <c r="G845" s="19">
        <v>24750</v>
      </c>
    </row>
    <row r="846" spans="1:7">
      <c r="A846" s="11" t="s">
        <v>62</v>
      </c>
      <c r="B846" s="11" t="s">
        <v>171</v>
      </c>
      <c r="C846" s="11" t="s">
        <v>13</v>
      </c>
      <c r="D846" s="18">
        <v>45849</v>
      </c>
      <c r="E846" s="11" t="s">
        <v>1262</v>
      </c>
      <c r="F846" s="11" t="s">
        <v>538</v>
      </c>
      <c r="G846" s="19">
        <v>-13938380</v>
      </c>
    </row>
    <row r="847" spans="1:7">
      <c r="A847" s="11" t="s">
        <v>173</v>
      </c>
      <c r="B847" s="11" t="s">
        <v>182</v>
      </c>
      <c r="C847" s="11" t="s">
        <v>13</v>
      </c>
      <c r="D847" s="18">
        <v>45849</v>
      </c>
      <c r="E847" s="11" t="s">
        <v>1262</v>
      </c>
      <c r="F847" s="11" t="s">
        <v>538</v>
      </c>
      <c r="G847" s="19">
        <v>-1480620</v>
      </c>
    </row>
    <row r="848" spans="1:7">
      <c r="A848" s="11" t="s">
        <v>62</v>
      </c>
      <c r="B848" s="11" t="s">
        <v>171</v>
      </c>
      <c r="C848" s="11" t="s">
        <v>13</v>
      </c>
      <c r="D848" s="18">
        <v>45849</v>
      </c>
      <c r="E848" s="11" t="s">
        <v>1262</v>
      </c>
      <c r="F848" s="11" t="s">
        <v>538</v>
      </c>
      <c r="G848" s="19">
        <v>13821380</v>
      </c>
    </row>
    <row r="849" spans="1:7">
      <c r="A849" s="11" t="s">
        <v>173</v>
      </c>
      <c r="B849" s="11" t="s">
        <v>182</v>
      </c>
      <c r="C849" s="11" t="s">
        <v>13</v>
      </c>
      <c r="D849" s="18">
        <v>45849</v>
      </c>
      <c r="E849" s="11" t="s">
        <v>1262</v>
      </c>
      <c r="F849" s="11" t="s">
        <v>538</v>
      </c>
      <c r="G849" s="19">
        <v>1597620</v>
      </c>
    </row>
    <row r="850" spans="1:7">
      <c r="A850" s="11" t="s">
        <v>62</v>
      </c>
      <c r="B850" s="11" t="s">
        <v>171</v>
      </c>
      <c r="C850" s="11" t="s">
        <v>13</v>
      </c>
      <c r="D850" s="18">
        <v>45849</v>
      </c>
      <c r="E850" s="11" t="s">
        <v>1263</v>
      </c>
      <c r="F850" s="11" t="s">
        <v>538</v>
      </c>
      <c r="G850" s="19">
        <v>-20480000</v>
      </c>
    </row>
    <row r="851" spans="1:7">
      <c r="A851" s="11" t="s">
        <v>173</v>
      </c>
      <c r="B851" s="11" t="s">
        <v>182</v>
      </c>
      <c r="C851" s="11" t="s">
        <v>13</v>
      </c>
      <c r="D851" s="18">
        <v>45849</v>
      </c>
      <c r="E851" s="11" t="s">
        <v>1263</v>
      </c>
      <c r="F851" s="11" t="s">
        <v>538</v>
      </c>
      <c r="G851" s="19">
        <v>-1272000</v>
      </c>
    </row>
    <row r="852" spans="1:7">
      <c r="A852" s="11" t="s">
        <v>62</v>
      </c>
      <c r="B852" s="11" t="s">
        <v>171</v>
      </c>
      <c r="C852" s="11" t="s">
        <v>13</v>
      </c>
      <c r="D852" s="18">
        <v>45849</v>
      </c>
      <c r="E852" s="11" t="s">
        <v>1263</v>
      </c>
      <c r="F852" s="11" t="s">
        <v>538</v>
      </c>
      <c r="G852" s="19">
        <v>20157000</v>
      </c>
    </row>
    <row r="853" spans="1:7">
      <c r="A853" s="11" t="s">
        <v>173</v>
      </c>
      <c r="B853" s="11" t="s">
        <v>182</v>
      </c>
      <c r="C853" s="11" t="s">
        <v>13</v>
      </c>
      <c r="D853" s="18">
        <v>45849</v>
      </c>
      <c r="E853" s="11" t="s">
        <v>1263</v>
      </c>
      <c r="F853" s="11" t="s">
        <v>538</v>
      </c>
      <c r="G853" s="19">
        <v>1595000</v>
      </c>
    </row>
    <row r="854" spans="1:7">
      <c r="A854" s="11" t="s">
        <v>130</v>
      </c>
      <c r="B854" s="11" t="s">
        <v>37</v>
      </c>
      <c r="C854" s="11" t="s">
        <v>13</v>
      </c>
      <c r="D854" s="18">
        <v>45849</v>
      </c>
      <c r="E854" s="11" t="s">
        <v>1264</v>
      </c>
      <c r="F854" s="11" t="s">
        <v>836</v>
      </c>
      <c r="G854" s="19">
        <v>2000000</v>
      </c>
    </row>
    <row r="855" spans="1:7">
      <c r="A855" s="11" t="s">
        <v>173</v>
      </c>
      <c r="B855" s="11" t="s">
        <v>180</v>
      </c>
      <c r="C855" s="11" t="s">
        <v>13</v>
      </c>
      <c r="D855" s="18">
        <v>45849</v>
      </c>
      <c r="E855" s="11" t="s">
        <v>1265</v>
      </c>
      <c r="F855" s="11" t="s">
        <v>1266</v>
      </c>
      <c r="G855" s="19">
        <v>4800000</v>
      </c>
    </row>
    <row r="856" spans="1:7">
      <c r="A856" s="11" t="s">
        <v>104</v>
      </c>
      <c r="B856" s="11" t="s">
        <v>108</v>
      </c>
      <c r="C856" s="11" t="s">
        <v>15</v>
      </c>
      <c r="D856" s="18">
        <v>45852</v>
      </c>
      <c r="E856" s="11" t="s">
        <v>1267</v>
      </c>
      <c r="F856" s="11" t="s">
        <v>255</v>
      </c>
      <c r="G856" s="19">
        <v>3300</v>
      </c>
    </row>
    <row r="857" spans="1:7">
      <c r="A857" s="11" t="s">
        <v>104</v>
      </c>
      <c r="B857" s="11" t="s">
        <v>108</v>
      </c>
      <c r="C857" s="11" t="s">
        <v>15</v>
      </c>
      <c r="D857" s="18">
        <v>45853</v>
      </c>
      <c r="E857" s="11" t="s">
        <v>1268</v>
      </c>
      <c r="F857" s="11" t="s">
        <v>255</v>
      </c>
      <c r="G857" s="19">
        <v>33000</v>
      </c>
    </row>
    <row r="858" spans="1:7">
      <c r="A858" s="11" t="s">
        <v>22</v>
      </c>
      <c r="B858" s="11" t="s">
        <v>119</v>
      </c>
      <c r="C858" s="11" t="s">
        <v>120</v>
      </c>
      <c r="D858" s="18">
        <v>45853</v>
      </c>
      <c r="E858" s="11" t="s">
        <v>1269</v>
      </c>
      <c r="F858" s="11" t="s">
        <v>338</v>
      </c>
      <c r="G858" s="19">
        <v>60700</v>
      </c>
    </row>
    <row r="859" spans="1:7">
      <c r="A859" s="11" t="s">
        <v>104</v>
      </c>
      <c r="B859" s="11" t="s">
        <v>108</v>
      </c>
      <c r="C859" s="11" t="s">
        <v>15</v>
      </c>
      <c r="D859" s="18">
        <v>45854</v>
      </c>
      <c r="E859" s="11" t="s">
        <v>1270</v>
      </c>
      <c r="F859" s="11" t="s">
        <v>255</v>
      </c>
      <c r="G859" s="19">
        <v>420</v>
      </c>
    </row>
    <row r="860" spans="1:7">
      <c r="A860" s="11" t="s">
        <v>62</v>
      </c>
      <c r="B860" s="11" t="s">
        <v>172</v>
      </c>
      <c r="C860" s="11" t="s">
        <v>25</v>
      </c>
      <c r="D860" s="18">
        <v>45854</v>
      </c>
      <c r="E860" s="11" t="s">
        <v>1271</v>
      </c>
      <c r="F860" s="11" t="s">
        <v>538</v>
      </c>
      <c r="G860" s="19">
        <v>-3065370</v>
      </c>
    </row>
    <row r="861" spans="1:7">
      <c r="A861" s="11" t="s">
        <v>62</v>
      </c>
      <c r="B861" s="11" t="s">
        <v>171</v>
      </c>
      <c r="C861" s="11" t="s">
        <v>25</v>
      </c>
      <c r="D861" s="18">
        <v>45854</v>
      </c>
      <c r="E861" s="11" t="s">
        <v>1271</v>
      </c>
      <c r="F861" s="11" t="s">
        <v>538</v>
      </c>
      <c r="G861" s="19">
        <v>-22588020</v>
      </c>
    </row>
    <row r="862" spans="1:7">
      <c r="A862" s="11" t="s">
        <v>173</v>
      </c>
      <c r="B862" s="11" t="s">
        <v>182</v>
      </c>
      <c r="C862" s="11" t="s">
        <v>25</v>
      </c>
      <c r="D862" s="18">
        <v>45854</v>
      </c>
      <c r="E862" s="11" t="s">
        <v>1271</v>
      </c>
      <c r="F862" s="11" t="s">
        <v>538</v>
      </c>
      <c r="G862" s="19">
        <v>-136120</v>
      </c>
    </row>
    <row r="863" spans="1:7">
      <c r="A863" s="11" t="s">
        <v>173</v>
      </c>
      <c r="B863" s="11" t="s">
        <v>182</v>
      </c>
      <c r="C863" s="11" t="s">
        <v>25</v>
      </c>
      <c r="D863" s="18">
        <v>45854</v>
      </c>
      <c r="E863" s="11" t="s">
        <v>1271</v>
      </c>
      <c r="F863" s="11" t="s">
        <v>538</v>
      </c>
      <c r="G863" s="19">
        <v>1375710</v>
      </c>
    </row>
    <row r="864" spans="1:7">
      <c r="A864" s="11" t="s">
        <v>62</v>
      </c>
      <c r="B864" s="11" t="s">
        <v>171</v>
      </c>
      <c r="C864" s="11" t="s">
        <v>25</v>
      </c>
      <c r="D864" s="18">
        <v>45854</v>
      </c>
      <c r="E864" s="11" t="s">
        <v>1271</v>
      </c>
      <c r="F864" s="11" t="s">
        <v>538</v>
      </c>
      <c r="G864" s="19">
        <v>21348430</v>
      </c>
    </row>
    <row r="865" spans="1:7">
      <c r="A865" s="11" t="s">
        <v>62</v>
      </c>
      <c r="B865" s="11" t="s">
        <v>172</v>
      </c>
      <c r="C865" s="11" t="s">
        <v>25</v>
      </c>
      <c r="D865" s="18">
        <v>45854</v>
      </c>
      <c r="E865" s="11" t="s">
        <v>1271</v>
      </c>
      <c r="F865" s="11" t="s">
        <v>538</v>
      </c>
      <c r="G865" s="19">
        <v>3065370</v>
      </c>
    </row>
    <row r="866" spans="1:7">
      <c r="A866" s="11" t="s">
        <v>173</v>
      </c>
      <c r="B866" s="11" t="s">
        <v>182</v>
      </c>
      <c r="C866" s="11" t="s">
        <v>13</v>
      </c>
      <c r="D866" s="18">
        <v>45854</v>
      </c>
      <c r="E866" s="11" t="s">
        <v>1272</v>
      </c>
      <c r="F866" s="11" t="s">
        <v>538</v>
      </c>
      <c r="G866" s="19">
        <v>-1597620</v>
      </c>
    </row>
    <row r="867" spans="1:7">
      <c r="A867" s="11" t="s">
        <v>62</v>
      </c>
      <c r="B867" s="11" t="s">
        <v>171</v>
      </c>
      <c r="C867" s="11" t="s">
        <v>13</v>
      </c>
      <c r="D867" s="18">
        <v>45854</v>
      </c>
      <c r="E867" s="11" t="s">
        <v>1272</v>
      </c>
      <c r="F867" s="11" t="s">
        <v>538</v>
      </c>
      <c r="G867" s="19">
        <v>-13821380</v>
      </c>
    </row>
    <row r="868" spans="1:7">
      <c r="A868" s="11" t="s">
        <v>173</v>
      </c>
      <c r="B868" s="11" t="s">
        <v>182</v>
      </c>
      <c r="C868" s="11" t="s">
        <v>13</v>
      </c>
      <c r="D868" s="18">
        <v>45854</v>
      </c>
      <c r="E868" s="11" t="s">
        <v>1272</v>
      </c>
      <c r="F868" s="11" t="s">
        <v>538</v>
      </c>
      <c r="G868" s="19">
        <v>1716620</v>
      </c>
    </row>
    <row r="869" spans="1:7">
      <c r="A869" s="11" t="s">
        <v>62</v>
      </c>
      <c r="B869" s="11" t="s">
        <v>171</v>
      </c>
      <c r="C869" s="11" t="s">
        <v>13</v>
      </c>
      <c r="D869" s="18">
        <v>45854</v>
      </c>
      <c r="E869" s="11" t="s">
        <v>1272</v>
      </c>
      <c r="F869" s="11" t="s">
        <v>538</v>
      </c>
      <c r="G869" s="19">
        <v>13702380</v>
      </c>
    </row>
    <row r="870" spans="1:7">
      <c r="A870" s="11" t="s">
        <v>54</v>
      </c>
      <c r="B870" s="11" t="s">
        <v>159</v>
      </c>
      <c r="C870" s="11" t="s">
        <v>120</v>
      </c>
      <c r="D870" s="18">
        <v>45855</v>
      </c>
      <c r="E870" s="11" t="s">
        <v>1273</v>
      </c>
      <c r="F870" s="11" t="s">
        <v>249</v>
      </c>
      <c r="G870" s="19">
        <v>80000</v>
      </c>
    </row>
    <row r="871" spans="1:7">
      <c r="A871" s="11" t="s">
        <v>54</v>
      </c>
      <c r="B871" s="11" t="s">
        <v>158</v>
      </c>
      <c r="C871" s="11" t="s">
        <v>120</v>
      </c>
      <c r="D871" s="18">
        <v>45855</v>
      </c>
      <c r="E871" s="11" t="s">
        <v>1273</v>
      </c>
      <c r="F871" s="11" t="s">
        <v>249</v>
      </c>
      <c r="G871" s="19">
        <v>2416000</v>
      </c>
    </row>
    <row r="872" spans="1:7">
      <c r="A872" s="11" t="s">
        <v>28</v>
      </c>
      <c r="B872" s="11" t="s">
        <v>127</v>
      </c>
      <c r="C872" s="11" t="s">
        <v>15</v>
      </c>
      <c r="D872" s="18">
        <v>45855</v>
      </c>
      <c r="E872" s="11" t="s">
        <v>1274</v>
      </c>
      <c r="F872" s="11" t="s">
        <v>319</v>
      </c>
      <c r="G872" s="19">
        <v>338800</v>
      </c>
    </row>
    <row r="873" spans="1:7">
      <c r="A873" s="11" t="s">
        <v>173</v>
      </c>
      <c r="B873" s="11" t="s">
        <v>182</v>
      </c>
      <c r="C873" s="11" t="s">
        <v>13</v>
      </c>
      <c r="D873" s="18">
        <v>45855</v>
      </c>
      <c r="E873" s="11" t="s">
        <v>1275</v>
      </c>
      <c r="F873" s="11" t="s">
        <v>538</v>
      </c>
      <c r="G873" s="19">
        <v>-1595000</v>
      </c>
    </row>
    <row r="874" spans="1:7">
      <c r="A874" s="11" t="s">
        <v>62</v>
      </c>
      <c r="B874" s="11" t="s">
        <v>171</v>
      </c>
      <c r="C874" s="11" t="s">
        <v>13</v>
      </c>
      <c r="D874" s="18">
        <v>45855</v>
      </c>
      <c r="E874" s="11" t="s">
        <v>1275</v>
      </c>
      <c r="F874" s="11" t="s">
        <v>538</v>
      </c>
      <c r="G874" s="19">
        <v>-20157000</v>
      </c>
    </row>
    <row r="875" spans="1:7">
      <c r="A875" s="11" t="s">
        <v>62</v>
      </c>
      <c r="B875" s="11" t="s">
        <v>171</v>
      </c>
      <c r="C875" s="11" t="s">
        <v>13</v>
      </c>
      <c r="D875" s="18">
        <v>45855</v>
      </c>
      <c r="E875" s="11" t="s">
        <v>1275</v>
      </c>
      <c r="F875" s="11" t="s">
        <v>538</v>
      </c>
      <c r="G875" s="19">
        <v>20072000</v>
      </c>
    </row>
    <row r="876" spans="1:7">
      <c r="A876" s="11" t="s">
        <v>173</v>
      </c>
      <c r="B876" s="11" t="s">
        <v>182</v>
      </c>
      <c r="C876" s="11" t="s">
        <v>13</v>
      </c>
      <c r="D876" s="18">
        <v>45855</v>
      </c>
      <c r="E876" s="11" t="s">
        <v>1275</v>
      </c>
      <c r="F876" s="11" t="s">
        <v>538</v>
      </c>
      <c r="G876" s="19">
        <v>1680000</v>
      </c>
    </row>
    <row r="877" spans="1:7">
      <c r="A877" s="11" t="s">
        <v>62</v>
      </c>
      <c r="B877" s="11" t="s">
        <v>172</v>
      </c>
      <c r="C877" s="11" t="s">
        <v>15</v>
      </c>
      <c r="D877" s="18">
        <v>45855</v>
      </c>
      <c r="E877" s="11" t="s">
        <v>1276</v>
      </c>
      <c r="F877" s="11" t="s">
        <v>502</v>
      </c>
      <c r="G877" s="19">
        <v>-368290</v>
      </c>
    </row>
    <row r="878" spans="1:7">
      <c r="A878" s="11" t="s">
        <v>173</v>
      </c>
      <c r="B878" s="11" t="s">
        <v>182</v>
      </c>
      <c r="C878" s="11" t="s">
        <v>15</v>
      </c>
      <c r="D878" s="18">
        <v>45855</v>
      </c>
      <c r="E878" s="11" t="s">
        <v>1276</v>
      </c>
      <c r="F878" s="11" t="s">
        <v>502</v>
      </c>
      <c r="G878" s="19">
        <v>-341470</v>
      </c>
    </row>
    <row r="879" spans="1:7">
      <c r="A879" s="11" t="s">
        <v>62</v>
      </c>
      <c r="B879" s="11" t="s">
        <v>171</v>
      </c>
      <c r="C879" s="11" t="s">
        <v>15</v>
      </c>
      <c r="D879" s="18">
        <v>45855</v>
      </c>
      <c r="E879" s="11" t="s">
        <v>1276</v>
      </c>
      <c r="F879" s="11" t="s">
        <v>502</v>
      </c>
      <c r="G879" s="19">
        <v>-3805410</v>
      </c>
    </row>
    <row r="880" spans="1:7">
      <c r="A880" s="11" t="s">
        <v>62</v>
      </c>
      <c r="B880" s="11" t="s">
        <v>171</v>
      </c>
      <c r="C880" s="11" t="s">
        <v>15</v>
      </c>
      <c r="D880" s="18">
        <v>45855</v>
      </c>
      <c r="E880" s="11" t="s">
        <v>1276</v>
      </c>
      <c r="F880" s="11" t="s">
        <v>502</v>
      </c>
      <c r="G880" s="19">
        <v>3743680</v>
      </c>
    </row>
    <row r="881" spans="1:7">
      <c r="A881" s="11" t="s">
        <v>62</v>
      </c>
      <c r="B881" s="11" t="s">
        <v>172</v>
      </c>
      <c r="C881" s="11" t="s">
        <v>15</v>
      </c>
      <c r="D881" s="18">
        <v>45855</v>
      </c>
      <c r="E881" s="11" t="s">
        <v>1276</v>
      </c>
      <c r="F881" s="11" t="s">
        <v>502</v>
      </c>
      <c r="G881" s="19">
        <v>368290</v>
      </c>
    </row>
    <row r="882" spans="1:7">
      <c r="A882" s="11" t="s">
        <v>173</v>
      </c>
      <c r="B882" s="11" t="s">
        <v>182</v>
      </c>
      <c r="C882" s="11" t="s">
        <v>15</v>
      </c>
      <c r="D882" s="18">
        <v>45855</v>
      </c>
      <c r="E882" s="11" t="s">
        <v>1276</v>
      </c>
      <c r="F882" s="11" t="s">
        <v>502</v>
      </c>
      <c r="G882" s="19">
        <v>403200</v>
      </c>
    </row>
    <row r="883" spans="1:7">
      <c r="A883" s="11" t="s">
        <v>22</v>
      </c>
      <c r="B883" s="11" t="s">
        <v>119</v>
      </c>
      <c r="C883" s="11" t="s">
        <v>120</v>
      </c>
      <c r="D883" s="18">
        <v>45855</v>
      </c>
      <c r="E883" s="11" t="s">
        <v>1277</v>
      </c>
      <c r="F883" s="11" t="s">
        <v>1049</v>
      </c>
      <c r="G883" s="19">
        <v>48950</v>
      </c>
    </row>
    <row r="884" spans="1:7">
      <c r="A884" s="11" t="s">
        <v>101</v>
      </c>
      <c r="B884" s="11" t="s">
        <v>211</v>
      </c>
      <c r="C884" s="11" t="s">
        <v>15</v>
      </c>
      <c r="D884" s="18">
        <v>45855</v>
      </c>
      <c r="E884" s="11" t="s">
        <v>1278</v>
      </c>
      <c r="F884" s="11" t="s">
        <v>783</v>
      </c>
      <c r="G884" s="19">
        <v>319500</v>
      </c>
    </row>
    <row r="885" spans="1:7">
      <c r="A885" s="11" t="s">
        <v>74</v>
      </c>
      <c r="B885" s="11" t="s">
        <v>193</v>
      </c>
      <c r="C885" s="11" t="s">
        <v>15</v>
      </c>
      <c r="D885" s="18">
        <v>45855</v>
      </c>
      <c r="E885" s="11" t="s">
        <v>1279</v>
      </c>
      <c r="F885" s="11" t="s">
        <v>535</v>
      </c>
      <c r="G885" s="19">
        <v>220000</v>
      </c>
    </row>
    <row r="886" spans="1:7">
      <c r="A886" s="11" t="s">
        <v>75</v>
      </c>
      <c r="B886" s="11" t="s">
        <v>76</v>
      </c>
      <c r="C886" s="11" t="s">
        <v>13</v>
      </c>
      <c r="D886" s="18">
        <v>45856</v>
      </c>
      <c r="E886" s="11" t="s">
        <v>1280</v>
      </c>
      <c r="F886" s="11" t="s">
        <v>225</v>
      </c>
      <c r="G886" s="19">
        <v>616000</v>
      </c>
    </row>
    <row r="887" spans="1:7">
      <c r="A887" s="11" t="s">
        <v>87</v>
      </c>
      <c r="B887" s="11" t="s">
        <v>95</v>
      </c>
      <c r="C887" s="11" t="s">
        <v>15</v>
      </c>
      <c r="D887" s="18">
        <v>45856</v>
      </c>
      <c r="E887" s="11" t="s">
        <v>1281</v>
      </c>
      <c r="F887" s="11" t="s">
        <v>1282</v>
      </c>
      <c r="G887" s="19">
        <v>120000</v>
      </c>
    </row>
    <row r="888" spans="1:7">
      <c r="A888" s="11" t="s">
        <v>38</v>
      </c>
      <c r="B888" s="11" t="s">
        <v>40</v>
      </c>
      <c r="C888" s="11" t="s">
        <v>15</v>
      </c>
      <c r="D888" s="18">
        <v>45856</v>
      </c>
      <c r="E888" s="11" t="s">
        <v>1283</v>
      </c>
      <c r="F888" s="11" t="s">
        <v>510</v>
      </c>
      <c r="G888" s="19">
        <v>100000</v>
      </c>
    </row>
    <row r="889" spans="1:7">
      <c r="A889" s="11" t="s">
        <v>28</v>
      </c>
      <c r="B889" s="11" t="s">
        <v>125</v>
      </c>
      <c r="C889" s="11" t="s">
        <v>15</v>
      </c>
      <c r="D889" s="18">
        <v>45856</v>
      </c>
      <c r="E889" s="11" t="s">
        <v>1284</v>
      </c>
      <c r="F889" s="11" t="s">
        <v>838</v>
      </c>
      <c r="G889" s="19">
        <v>406500</v>
      </c>
    </row>
    <row r="890" spans="1:7">
      <c r="A890" s="11" t="s">
        <v>55</v>
      </c>
      <c r="B890" s="11" t="s">
        <v>166</v>
      </c>
      <c r="C890" s="11" t="s">
        <v>25</v>
      </c>
      <c r="D890" s="18">
        <v>45859</v>
      </c>
      <c r="E890" s="11" t="s">
        <v>1285</v>
      </c>
      <c r="F890" s="11" t="s">
        <v>649</v>
      </c>
      <c r="G890" s="19">
        <v>400000</v>
      </c>
    </row>
    <row r="891" spans="1:7">
      <c r="A891" s="11" t="s">
        <v>173</v>
      </c>
      <c r="B891" s="11" t="s">
        <v>180</v>
      </c>
      <c r="C891" s="11" t="s">
        <v>25</v>
      </c>
      <c r="D891" s="18">
        <v>45859</v>
      </c>
      <c r="E891" s="11" t="s">
        <v>1286</v>
      </c>
      <c r="F891" s="11" t="s">
        <v>1287</v>
      </c>
      <c r="G891" s="19">
        <v>80000</v>
      </c>
    </row>
    <row r="892" spans="1:7">
      <c r="A892" s="11" t="s">
        <v>65</v>
      </c>
      <c r="B892" s="11" t="s">
        <v>67</v>
      </c>
      <c r="C892" s="11" t="s">
        <v>66</v>
      </c>
      <c r="D892" s="18">
        <v>45859</v>
      </c>
      <c r="E892" s="11" t="s">
        <v>1288</v>
      </c>
      <c r="F892" s="11" t="s">
        <v>783</v>
      </c>
      <c r="G892" s="19">
        <v>481950</v>
      </c>
    </row>
    <row r="893" spans="1:7">
      <c r="A893" s="11" t="s">
        <v>28</v>
      </c>
      <c r="B893" s="11" t="s">
        <v>125</v>
      </c>
      <c r="C893" s="11" t="s">
        <v>15</v>
      </c>
      <c r="D893" s="18">
        <v>45859</v>
      </c>
      <c r="E893" s="11" t="s">
        <v>1289</v>
      </c>
      <c r="F893" s="11" t="s">
        <v>838</v>
      </c>
      <c r="G893" s="19">
        <v>1130390</v>
      </c>
    </row>
    <row r="894" spans="1:7">
      <c r="A894" s="11" t="s">
        <v>173</v>
      </c>
      <c r="B894" s="11" t="s">
        <v>180</v>
      </c>
      <c r="C894" s="11" t="s">
        <v>13</v>
      </c>
      <c r="D894" s="18">
        <v>45859</v>
      </c>
      <c r="E894" s="11" t="s">
        <v>1290</v>
      </c>
      <c r="F894" s="11" t="s">
        <v>1291</v>
      </c>
      <c r="G894" s="19">
        <v>534000</v>
      </c>
    </row>
    <row r="895" spans="1:7">
      <c r="A895" s="11" t="s">
        <v>43</v>
      </c>
      <c r="B895" s="11" t="s">
        <v>141</v>
      </c>
      <c r="C895" s="11" t="s">
        <v>25</v>
      </c>
      <c r="D895" s="18">
        <v>45859</v>
      </c>
      <c r="E895" s="11" t="s">
        <v>1292</v>
      </c>
      <c r="F895" s="11" t="s">
        <v>940</v>
      </c>
      <c r="G895" s="19">
        <v>860000</v>
      </c>
    </row>
    <row r="896" spans="1:7">
      <c r="A896" s="11" t="s">
        <v>104</v>
      </c>
      <c r="B896" s="11" t="s">
        <v>108</v>
      </c>
      <c r="C896" s="11" t="s">
        <v>15</v>
      </c>
      <c r="D896" s="18">
        <v>45859</v>
      </c>
      <c r="E896" s="11" t="s">
        <v>1293</v>
      </c>
      <c r="F896" s="11" t="s">
        <v>255</v>
      </c>
      <c r="G896" s="19">
        <v>360</v>
      </c>
    </row>
    <row r="897" spans="1:7">
      <c r="A897" s="11" t="s">
        <v>87</v>
      </c>
      <c r="B897" s="11" t="s">
        <v>94</v>
      </c>
      <c r="C897" s="11" t="s">
        <v>15</v>
      </c>
      <c r="D897" s="18">
        <v>45859</v>
      </c>
      <c r="E897" s="11" t="s">
        <v>1294</v>
      </c>
      <c r="F897" s="11" t="s">
        <v>257</v>
      </c>
      <c r="G897" s="19">
        <v>407000</v>
      </c>
    </row>
    <row r="898" spans="1:7">
      <c r="A898" s="11" t="s">
        <v>87</v>
      </c>
      <c r="B898" s="11" t="s">
        <v>88</v>
      </c>
      <c r="C898" s="11" t="s">
        <v>92</v>
      </c>
      <c r="D898" s="18">
        <v>45859</v>
      </c>
      <c r="E898" s="11" t="s">
        <v>1295</v>
      </c>
      <c r="F898" s="11" t="s">
        <v>224</v>
      </c>
      <c r="G898" s="19">
        <v>11320</v>
      </c>
    </row>
    <row r="899" spans="1:7">
      <c r="A899" s="11" t="s">
        <v>99</v>
      </c>
      <c r="B899" s="11" t="s">
        <v>99</v>
      </c>
      <c r="C899" s="11" t="s">
        <v>44</v>
      </c>
      <c r="D899" s="18">
        <v>45860</v>
      </c>
      <c r="E899" s="11" t="s">
        <v>1296</v>
      </c>
      <c r="F899" s="11" t="s">
        <v>376</v>
      </c>
      <c r="G899" s="19">
        <v>20000</v>
      </c>
    </row>
    <row r="900" spans="1:7">
      <c r="A900" s="11" t="s">
        <v>144</v>
      </c>
      <c r="B900" s="11" t="s">
        <v>146</v>
      </c>
      <c r="C900" s="11" t="s">
        <v>13</v>
      </c>
      <c r="D900" s="18">
        <v>45860</v>
      </c>
      <c r="E900" s="11" t="s">
        <v>1297</v>
      </c>
      <c r="F900" s="11" t="s">
        <v>1298</v>
      </c>
      <c r="G900" s="19">
        <v>700000</v>
      </c>
    </row>
    <row r="901" spans="1:7">
      <c r="A901" s="11" t="s">
        <v>28</v>
      </c>
      <c r="B901" s="11" t="s">
        <v>129</v>
      </c>
      <c r="C901" s="11" t="s">
        <v>15</v>
      </c>
      <c r="D901" s="18">
        <v>45860</v>
      </c>
      <c r="E901" s="11" t="s">
        <v>1299</v>
      </c>
      <c r="F901" s="11" t="s">
        <v>1300</v>
      </c>
      <c r="G901" s="19">
        <v>35200</v>
      </c>
    </row>
    <row r="902" spans="1:7">
      <c r="A902" s="11" t="s">
        <v>87</v>
      </c>
      <c r="B902" s="11" t="s">
        <v>94</v>
      </c>
      <c r="C902" s="11" t="s">
        <v>15</v>
      </c>
      <c r="D902" s="18">
        <v>45860</v>
      </c>
      <c r="E902" s="11" t="s">
        <v>1301</v>
      </c>
      <c r="F902" s="11" t="s">
        <v>308</v>
      </c>
      <c r="G902" s="19">
        <v>42350</v>
      </c>
    </row>
    <row r="903" spans="1:7">
      <c r="A903" s="11" t="s">
        <v>75</v>
      </c>
      <c r="B903" s="11" t="s">
        <v>195</v>
      </c>
      <c r="C903" s="11" t="s">
        <v>15</v>
      </c>
      <c r="D903" s="18">
        <v>45860</v>
      </c>
      <c r="E903" s="11" t="s">
        <v>1302</v>
      </c>
      <c r="F903" s="11" t="s">
        <v>225</v>
      </c>
      <c r="G903" s="19">
        <v>297000</v>
      </c>
    </row>
    <row r="904" spans="1:7">
      <c r="A904" s="11" t="s">
        <v>87</v>
      </c>
      <c r="B904" s="11" t="s">
        <v>96</v>
      </c>
      <c r="C904" s="11" t="s">
        <v>15</v>
      </c>
      <c r="D904" s="18">
        <v>45860</v>
      </c>
      <c r="E904" s="11" t="s">
        <v>1303</v>
      </c>
      <c r="F904" s="11" t="s">
        <v>586</v>
      </c>
      <c r="G904" s="19">
        <v>83540</v>
      </c>
    </row>
    <row r="905" spans="1:7">
      <c r="A905" s="11" t="s">
        <v>104</v>
      </c>
      <c r="B905" s="11" t="s">
        <v>214</v>
      </c>
      <c r="C905" s="11" t="s">
        <v>12</v>
      </c>
      <c r="D905" s="18">
        <v>45860</v>
      </c>
      <c r="E905" s="11" t="s">
        <v>1304</v>
      </c>
      <c r="F905" s="11" t="s">
        <v>1305</v>
      </c>
      <c r="G905" s="19">
        <v>9000</v>
      </c>
    </row>
    <row r="906" spans="1:7">
      <c r="A906" s="11" t="s">
        <v>104</v>
      </c>
      <c r="B906" s="11" t="s">
        <v>214</v>
      </c>
      <c r="C906" s="11" t="s">
        <v>12</v>
      </c>
      <c r="D906" s="18">
        <v>45860</v>
      </c>
      <c r="E906" s="11" t="s">
        <v>1306</v>
      </c>
      <c r="F906" s="11" t="s">
        <v>1307</v>
      </c>
      <c r="G906" s="19">
        <v>153000</v>
      </c>
    </row>
    <row r="907" spans="1:7">
      <c r="A907" s="11" t="s">
        <v>104</v>
      </c>
      <c r="B907" s="11" t="s">
        <v>108</v>
      </c>
      <c r="C907" s="11" t="s">
        <v>15</v>
      </c>
      <c r="D907" s="18">
        <v>45860</v>
      </c>
      <c r="E907" s="11" t="s">
        <v>1308</v>
      </c>
      <c r="F907" s="11" t="s">
        <v>1309</v>
      </c>
      <c r="G907" s="19">
        <v>42700</v>
      </c>
    </row>
    <row r="908" spans="1:7">
      <c r="A908" s="11" t="s">
        <v>55</v>
      </c>
      <c r="B908" s="11" t="s">
        <v>165</v>
      </c>
      <c r="C908" s="11" t="s">
        <v>13</v>
      </c>
      <c r="D908" s="18">
        <v>45860</v>
      </c>
      <c r="E908" s="11" t="s">
        <v>1310</v>
      </c>
      <c r="F908" s="11" t="s">
        <v>1311</v>
      </c>
      <c r="G908" s="19">
        <v>153900</v>
      </c>
    </row>
    <row r="909" spans="1:7">
      <c r="A909" s="11" t="s">
        <v>104</v>
      </c>
      <c r="B909" s="11" t="s">
        <v>214</v>
      </c>
      <c r="C909" s="11" t="s">
        <v>15</v>
      </c>
      <c r="D909" s="18">
        <v>45860</v>
      </c>
      <c r="E909" s="11" t="s">
        <v>1312</v>
      </c>
      <c r="F909" s="11" t="s">
        <v>295</v>
      </c>
      <c r="G909" s="19">
        <v>42300</v>
      </c>
    </row>
    <row r="910" spans="1:7">
      <c r="A910" s="11" t="s">
        <v>104</v>
      </c>
      <c r="B910" s="11" t="s">
        <v>214</v>
      </c>
      <c r="C910" s="11" t="s">
        <v>14</v>
      </c>
      <c r="D910" s="18">
        <v>45860</v>
      </c>
      <c r="E910" s="11" t="s">
        <v>1313</v>
      </c>
      <c r="F910" s="11" t="s">
        <v>1314</v>
      </c>
      <c r="G910" s="19">
        <v>111820</v>
      </c>
    </row>
    <row r="911" spans="1:7">
      <c r="A911" s="11" t="s">
        <v>43</v>
      </c>
      <c r="B911" s="11" t="s">
        <v>139</v>
      </c>
      <c r="C911" s="11" t="s">
        <v>13</v>
      </c>
      <c r="D911" s="18">
        <v>45860</v>
      </c>
      <c r="E911" s="11" t="s">
        <v>1315</v>
      </c>
      <c r="F911" s="11" t="s">
        <v>600</v>
      </c>
      <c r="G911" s="19">
        <v>14900</v>
      </c>
    </row>
    <row r="912" spans="1:7">
      <c r="A912" s="11" t="s">
        <v>144</v>
      </c>
      <c r="B912" s="11" t="s">
        <v>49</v>
      </c>
      <c r="C912" s="11" t="s">
        <v>50</v>
      </c>
      <c r="D912" s="18">
        <v>45860</v>
      </c>
      <c r="E912" s="11" t="s">
        <v>1316</v>
      </c>
      <c r="F912" s="11" t="s">
        <v>586</v>
      </c>
      <c r="G912" s="19">
        <v>387040</v>
      </c>
    </row>
    <row r="913" spans="1:7">
      <c r="A913" s="11" t="s">
        <v>144</v>
      </c>
      <c r="B913" s="11" t="s">
        <v>146</v>
      </c>
      <c r="C913" s="11" t="s">
        <v>13</v>
      </c>
      <c r="D913" s="18">
        <v>45860</v>
      </c>
      <c r="E913" s="11" t="s">
        <v>1317</v>
      </c>
      <c r="F913" s="11" t="s">
        <v>283</v>
      </c>
      <c r="G913" s="19">
        <v>99270</v>
      </c>
    </row>
    <row r="914" spans="1:7">
      <c r="A914" s="11" t="s">
        <v>55</v>
      </c>
      <c r="B914" s="11" t="s">
        <v>165</v>
      </c>
      <c r="C914" s="11" t="s">
        <v>13</v>
      </c>
      <c r="D914" s="18">
        <v>45860</v>
      </c>
      <c r="E914" s="11" t="s">
        <v>1318</v>
      </c>
      <c r="F914" s="11" t="s">
        <v>826</v>
      </c>
      <c r="G914" s="19">
        <v>196000</v>
      </c>
    </row>
    <row r="915" spans="1:7">
      <c r="A915" s="11" t="s">
        <v>173</v>
      </c>
      <c r="B915" s="11" t="s">
        <v>180</v>
      </c>
      <c r="C915" s="11" t="s">
        <v>13</v>
      </c>
      <c r="D915" s="18">
        <v>45860</v>
      </c>
      <c r="E915" s="11" t="s">
        <v>1319</v>
      </c>
      <c r="F915" s="11" t="s">
        <v>751</v>
      </c>
      <c r="G915" s="19">
        <v>981500</v>
      </c>
    </row>
    <row r="916" spans="1:7">
      <c r="A916" s="11" t="s">
        <v>52</v>
      </c>
      <c r="B916" s="11" t="s">
        <v>53</v>
      </c>
      <c r="C916" s="11" t="s">
        <v>13</v>
      </c>
      <c r="D916" s="18">
        <v>45860</v>
      </c>
      <c r="E916" s="11" t="s">
        <v>1320</v>
      </c>
      <c r="F916" s="11" t="s">
        <v>486</v>
      </c>
      <c r="G916" s="19">
        <v>187840</v>
      </c>
    </row>
    <row r="917" spans="1:7">
      <c r="A917" s="11" t="s">
        <v>130</v>
      </c>
      <c r="B917" s="11" t="s">
        <v>131</v>
      </c>
      <c r="C917" s="11" t="s">
        <v>34</v>
      </c>
      <c r="D917" s="18">
        <v>45860</v>
      </c>
      <c r="E917" s="11" t="s">
        <v>1321</v>
      </c>
      <c r="F917" s="11" t="s">
        <v>283</v>
      </c>
      <c r="G917" s="19">
        <v>268450</v>
      </c>
    </row>
    <row r="918" spans="1:7">
      <c r="A918" s="11" t="s">
        <v>52</v>
      </c>
      <c r="B918" s="11" t="s">
        <v>53</v>
      </c>
      <c r="C918" s="11" t="s">
        <v>13</v>
      </c>
      <c r="D918" s="18">
        <v>45860</v>
      </c>
      <c r="E918" s="11" t="s">
        <v>1322</v>
      </c>
      <c r="F918" s="11" t="s">
        <v>486</v>
      </c>
      <c r="G918" s="19">
        <v>20850</v>
      </c>
    </row>
    <row r="919" spans="1:7">
      <c r="A919" s="11" t="s">
        <v>52</v>
      </c>
      <c r="B919" s="11" t="s">
        <v>53</v>
      </c>
      <c r="C919" s="11" t="s">
        <v>13</v>
      </c>
      <c r="D919" s="18">
        <v>45860</v>
      </c>
      <c r="E919" s="11" t="s">
        <v>1323</v>
      </c>
      <c r="F919" s="11" t="s">
        <v>728</v>
      </c>
      <c r="G919" s="19">
        <v>66200</v>
      </c>
    </row>
    <row r="920" spans="1:7">
      <c r="A920" s="11" t="s">
        <v>144</v>
      </c>
      <c r="B920" s="11" t="s">
        <v>146</v>
      </c>
      <c r="C920" s="11" t="s">
        <v>13</v>
      </c>
      <c r="D920" s="18">
        <v>45860</v>
      </c>
      <c r="E920" s="11" t="s">
        <v>1324</v>
      </c>
      <c r="F920" s="11" t="s">
        <v>295</v>
      </c>
      <c r="G920" s="19">
        <v>60000</v>
      </c>
    </row>
    <row r="921" spans="1:7">
      <c r="A921" s="11" t="s">
        <v>144</v>
      </c>
      <c r="B921" s="11" t="s">
        <v>146</v>
      </c>
      <c r="C921" s="11" t="s">
        <v>13</v>
      </c>
      <c r="D921" s="18">
        <v>45860</v>
      </c>
      <c r="E921" s="11" t="s">
        <v>1325</v>
      </c>
      <c r="F921" s="11" t="s">
        <v>558</v>
      </c>
      <c r="G921" s="19">
        <v>27530</v>
      </c>
    </row>
    <row r="922" spans="1:7">
      <c r="A922" s="11" t="s">
        <v>104</v>
      </c>
      <c r="B922" s="11" t="s">
        <v>105</v>
      </c>
      <c r="C922" s="11" t="s">
        <v>14</v>
      </c>
      <c r="D922" s="18">
        <v>45860</v>
      </c>
      <c r="E922" s="11" t="s">
        <v>1326</v>
      </c>
      <c r="F922" s="11" t="s">
        <v>283</v>
      </c>
      <c r="G922" s="19">
        <v>116320</v>
      </c>
    </row>
    <row r="923" spans="1:7">
      <c r="A923" s="11" t="s">
        <v>104</v>
      </c>
      <c r="B923" s="11" t="s">
        <v>108</v>
      </c>
      <c r="C923" s="11" t="s">
        <v>12</v>
      </c>
      <c r="D923" s="18">
        <v>45860</v>
      </c>
      <c r="E923" s="11" t="s">
        <v>1327</v>
      </c>
      <c r="F923" s="11" t="s">
        <v>1328</v>
      </c>
      <c r="G923" s="19">
        <v>27000</v>
      </c>
    </row>
    <row r="924" spans="1:7">
      <c r="A924" s="11" t="s">
        <v>160</v>
      </c>
      <c r="B924" s="11" t="s">
        <v>161</v>
      </c>
      <c r="C924" s="11" t="s">
        <v>14</v>
      </c>
      <c r="D924" s="18">
        <v>45860</v>
      </c>
      <c r="E924" s="11" t="s">
        <v>1329</v>
      </c>
      <c r="F924" s="11" t="s">
        <v>728</v>
      </c>
      <c r="G924" s="19">
        <v>71900</v>
      </c>
    </row>
    <row r="925" spans="1:7">
      <c r="A925" s="11" t="s">
        <v>144</v>
      </c>
      <c r="B925" s="11" t="s">
        <v>49</v>
      </c>
      <c r="C925" s="11" t="s">
        <v>50</v>
      </c>
      <c r="D925" s="18">
        <v>45860</v>
      </c>
      <c r="E925" s="11" t="s">
        <v>1330</v>
      </c>
      <c r="F925" s="11" t="s">
        <v>586</v>
      </c>
      <c r="G925" s="19">
        <v>221310</v>
      </c>
    </row>
    <row r="926" spans="1:7">
      <c r="A926" s="11" t="s">
        <v>55</v>
      </c>
      <c r="B926" s="11" t="s">
        <v>165</v>
      </c>
      <c r="C926" s="11" t="s">
        <v>66</v>
      </c>
      <c r="D926" s="18">
        <v>45860</v>
      </c>
      <c r="E926" s="11" t="s">
        <v>1331</v>
      </c>
      <c r="F926" s="11" t="s">
        <v>580</v>
      </c>
      <c r="G926" s="19">
        <v>198350</v>
      </c>
    </row>
    <row r="927" spans="1:7">
      <c r="A927" s="11" t="s">
        <v>55</v>
      </c>
      <c r="B927" s="11" t="s">
        <v>166</v>
      </c>
      <c r="C927" s="11" t="s">
        <v>13</v>
      </c>
      <c r="D927" s="18">
        <v>45860</v>
      </c>
      <c r="E927" s="11" t="s">
        <v>1332</v>
      </c>
      <c r="F927" s="11" t="s">
        <v>295</v>
      </c>
      <c r="G927" s="19">
        <v>159640</v>
      </c>
    </row>
    <row r="928" spans="1:7">
      <c r="A928" s="11" t="s">
        <v>104</v>
      </c>
      <c r="B928" s="11" t="s">
        <v>108</v>
      </c>
      <c r="C928" s="11" t="s">
        <v>14</v>
      </c>
      <c r="D928" s="18">
        <v>45860</v>
      </c>
      <c r="E928" s="11" t="s">
        <v>1333</v>
      </c>
      <c r="F928" s="11" t="s">
        <v>1314</v>
      </c>
      <c r="G928" s="19">
        <v>37800</v>
      </c>
    </row>
    <row r="929" spans="1:7">
      <c r="A929" s="11" t="s">
        <v>104</v>
      </c>
      <c r="B929" s="11" t="s">
        <v>108</v>
      </c>
      <c r="C929" s="11" t="s">
        <v>12</v>
      </c>
      <c r="D929" s="18">
        <v>45860</v>
      </c>
      <c r="E929" s="11" t="s">
        <v>1334</v>
      </c>
      <c r="F929" s="11" t="s">
        <v>285</v>
      </c>
      <c r="G929" s="19">
        <v>9000</v>
      </c>
    </row>
    <row r="930" spans="1:7">
      <c r="A930" s="11" t="s">
        <v>70</v>
      </c>
      <c r="B930" s="11" t="s">
        <v>190</v>
      </c>
      <c r="C930" s="11" t="s">
        <v>14</v>
      </c>
      <c r="D930" s="18">
        <v>45860</v>
      </c>
      <c r="E930" s="11" t="s">
        <v>1335</v>
      </c>
      <c r="F930" s="11" t="s">
        <v>1336</v>
      </c>
      <c r="G930" s="19">
        <v>474700</v>
      </c>
    </row>
    <row r="931" spans="1:7">
      <c r="A931" s="11" t="s">
        <v>104</v>
      </c>
      <c r="B931" s="11" t="s">
        <v>108</v>
      </c>
      <c r="C931" s="11" t="s">
        <v>15</v>
      </c>
      <c r="D931" s="18">
        <v>45860</v>
      </c>
      <c r="E931" s="11" t="s">
        <v>1337</v>
      </c>
      <c r="F931" s="11" t="s">
        <v>758</v>
      </c>
      <c r="G931" s="19">
        <v>122066</v>
      </c>
    </row>
    <row r="932" spans="1:7">
      <c r="A932" s="11" t="s">
        <v>104</v>
      </c>
      <c r="B932" s="11" t="s">
        <v>108</v>
      </c>
      <c r="C932" s="11" t="s">
        <v>14</v>
      </c>
      <c r="D932" s="18">
        <v>45860</v>
      </c>
      <c r="E932" s="11" t="s">
        <v>1337</v>
      </c>
      <c r="F932" s="11" t="s">
        <v>758</v>
      </c>
      <c r="G932" s="19">
        <v>57160</v>
      </c>
    </row>
    <row r="933" spans="1:7">
      <c r="A933" s="11" t="s">
        <v>70</v>
      </c>
      <c r="B933" s="11" t="s">
        <v>190</v>
      </c>
      <c r="C933" s="11" t="s">
        <v>14</v>
      </c>
      <c r="D933" s="18">
        <v>45860</v>
      </c>
      <c r="E933" s="11" t="s">
        <v>1338</v>
      </c>
      <c r="F933" s="11" t="s">
        <v>1339</v>
      </c>
      <c r="G933" s="19">
        <v>120000</v>
      </c>
    </row>
    <row r="934" spans="1:7">
      <c r="A934" s="11" t="s">
        <v>70</v>
      </c>
      <c r="B934" s="11" t="s">
        <v>190</v>
      </c>
      <c r="C934" s="11" t="s">
        <v>14</v>
      </c>
      <c r="D934" s="18">
        <v>45860</v>
      </c>
      <c r="E934" s="11" t="s">
        <v>1340</v>
      </c>
      <c r="F934" s="11" t="s">
        <v>1307</v>
      </c>
      <c r="G934" s="19">
        <v>60000</v>
      </c>
    </row>
    <row r="935" spans="1:7">
      <c r="A935" s="11" t="s">
        <v>70</v>
      </c>
      <c r="B935" s="11" t="s">
        <v>190</v>
      </c>
      <c r="C935" s="11" t="s">
        <v>14</v>
      </c>
      <c r="D935" s="18">
        <v>45860</v>
      </c>
      <c r="E935" s="11" t="s">
        <v>1341</v>
      </c>
      <c r="F935" s="11" t="s">
        <v>1307</v>
      </c>
      <c r="G935" s="19">
        <v>70000</v>
      </c>
    </row>
    <row r="936" spans="1:7">
      <c r="A936" s="11" t="s">
        <v>70</v>
      </c>
      <c r="B936" s="11" t="s">
        <v>190</v>
      </c>
      <c r="C936" s="11" t="s">
        <v>14</v>
      </c>
      <c r="D936" s="18">
        <v>45860</v>
      </c>
      <c r="E936" s="11" t="s">
        <v>1342</v>
      </c>
      <c r="F936" s="11" t="s">
        <v>1343</v>
      </c>
      <c r="G936" s="19">
        <v>49900</v>
      </c>
    </row>
    <row r="937" spans="1:7">
      <c r="A937" s="11" t="s">
        <v>70</v>
      </c>
      <c r="B937" s="11" t="s">
        <v>190</v>
      </c>
      <c r="C937" s="11" t="s">
        <v>14</v>
      </c>
      <c r="D937" s="18">
        <v>45860</v>
      </c>
      <c r="E937" s="11" t="s">
        <v>1344</v>
      </c>
      <c r="F937" s="11" t="s">
        <v>1345</v>
      </c>
      <c r="G937" s="19">
        <v>70000</v>
      </c>
    </row>
    <row r="938" spans="1:7">
      <c r="A938" s="11" t="s">
        <v>70</v>
      </c>
      <c r="B938" s="11" t="s">
        <v>190</v>
      </c>
      <c r="C938" s="11" t="s">
        <v>14</v>
      </c>
      <c r="D938" s="18">
        <v>45860</v>
      </c>
      <c r="E938" s="11" t="s">
        <v>1346</v>
      </c>
      <c r="F938" s="11" t="s">
        <v>508</v>
      </c>
      <c r="G938" s="19">
        <v>80000</v>
      </c>
    </row>
    <row r="939" spans="1:7">
      <c r="A939" s="11" t="s">
        <v>144</v>
      </c>
      <c r="B939" s="11" t="s">
        <v>146</v>
      </c>
      <c r="C939" s="11" t="s">
        <v>13</v>
      </c>
      <c r="D939" s="18">
        <v>45860</v>
      </c>
      <c r="E939" s="11" t="s">
        <v>1347</v>
      </c>
      <c r="F939" s="11" t="s">
        <v>295</v>
      </c>
      <c r="G939" s="19">
        <v>25100</v>
      </c>
    </row>
    <row r="940" spans="1:7">
      <c r="A940" s="11" t="s">
        <v>70</v>
      </c>
      <c r="B940" s="11" t="s">
        <v>190</v>
      </c>
      <c r="C940" s="11" t="s">
        <v>14</v>
      </c>
      <c r="D940" s="18">
        <v>45860</v>
      </c>
      <c r="E940" s="11" t="s">
        <v>1348</v>
      </c>
      <c r="F940" s="11" t="s">
        <v>1349</v>
      </c>
      <c r="G940" s="19">
        <v>49400</v>
      </c>
    </row>
    <row r="941" spans="1:7">
      <c r="A941" s="11" t="s">
        <v>144</v>
      </c>
      <c r="B941" s="11" t="s">
        <v>146</v>
      </c>
      <c r="C941" s="11" t="s">
        <v>13</v>
      </c>
      <c r="D941" s="18">
        <v>45860</v>
      </c>
      <c r="E941" s="11" t="s">
        <v>1350</v>
      </c>
      <c r="F941" s="11" t="s">
        <v>295</v>
      </c>
      <c r="G941" s="19">
        <v>39200</v>
      </c>
    </row>
    <row r="942" spans="1:7">
      <c r="A942" s="11" t="s">
        <v>144</v>
      </c>
      <c r="B942" s="11" t="s">
        <v>146</v>
      </c>
      <c r="C942" s="11" t="s">
        <v>13</v>
      </c>
      <c r="D942" s="18">
        <v>45860</v>
      </c>
      <c r="E942" s="11" t="s">
        <v>1351</v>
      </c>
      <c r="F942" s="11" t="s">
        <v>586</v>
      </c>
      <c r="G942" s="19">
        <v>29000</v>
      </c>
    </row>
    <row r="943" spans="1:7">
      <c r="A943" s="11" t="s">
        <v>104</v>
      </c>
      <c r="B943" s="11" t="s">
        <v>214</v>
      </c>
      <c r="C943" s="11" t="s">
        <v>14</v>
      </c>
      <c r="D943" s="18">
        <v>45860</v>
      </c>
      <c r="E943" s="11" t="s">
        <v>1352</v>
      </c>
      <c r="F943" s="11" t="s">
        <v>283</v>
      </c>
      <c r="G943" s="19">
        <v>24300</v>
      </c>
    </row>
    <row r="944" spans="1:7">
      <c r="A944" s="11" t="s">
        <v>144</v>
      </c>
      <c r="B944" s="11" t="s">
        <v>149</v>
      </c>
      <c r="C944" s="11" t="s">
        <v>64</v>
      </c>
      <c r="D944" s="18">
        <v>45860</v>
      </c>
      <c r="E944" s="11" t="s">
        <v>1353</v>
      </c>
      <c r="F944" s="11" t="s">
        <v>451</v>
      </c>
      <c r="G944" s="19">
        <v>78000</v>
      </c>
    </row>
    <row r="945" spans="1:7">
      <c r="A945" s="11" t="s">
        <v>87</v>
      </c>
      <c r="B945" s="11" t="s">
        <v>95</v>
      </c>
      <c r="C945" s="11" t="s">
        <v>15</v>
      </c>
      <c r="D945" s="18">
        <v>45860</v>
      </c>
      <c r="E945" s="11" t="s">
        <v>1354</v>
      </c>
      <c r="F945" s="11" t="s">
        <v>1355</v>
      </c>
      <c r="G945" s="19">
        <v>198000</v>
      </c>
    </row>
    <row r="946" spans="1:7">
      <c r="A946" s="11" t="s">
        <v>65</v>
      </c>
      <c r="B946" s="11" t="s">
        <v>67</v>
      </c>
      <c r="C946" s="11" t="s">
        <v>13</v>
      </c>
      <c r="D946" s="18">
        <v>45860</v>
      </c>
      <c r="E946" s="11" t="s">
        <v>1356</v>
      </c>
      <c r="F946" s="11" t="s">
        <v>555</v>
      </c>
      <c r="G946" s="19">
        <v>199110</v>
      </c>
    </row>
    <row r="947" spans="1:7">
      <c r="A947" s="11" t="s">
        <v>173</v>
      </c>
      <c r="B947" s="11" t="s">
        <v>180</v>
      </c>
      <c r="C947" s="11" t="s">
        <v>13</v>
      </c>
      <c r="D947" s="18">
        <v>45860</v>
      </c>
      <c r="E947" s="11" t="s">
        <v>1357</v>
      </c>
      <c r="F947" s="11" t="s">
        <v>283</v>
      </c>
      <c r="G947" s="19">
        <v>341090</v>
      </c>
    </row>
    <row r="948" spans="1:7">
      <c r="A948" s="11" t="s">
        <v>144</v>
      </c>
      <c r="B948" s="11" t="s">
        <v>49</v>
      </c>
      <c r="C948" s="11" t="s">
        <v>50</v>
      </c>
      <c r="D948" s="18">
        <v>45860</v>
      </c>
      <c r="E948" s="11" t="s">
        <v>1358</v>
      </c>
      <c r="F948" s="11" t="s">
        <v>295</v>
      </c>
      <c r="G948" s="19">
        <v>16800</v>
      </c>
    </row>
    <row r="949" spans="1:7">
      <c r="A949" s="11" t="s">
        <v>173</v>
      </c>
      <c r="B949" s="11" t="s">
        <v>184</v>
      </c>
      <c r="C949" s="11" t="s">
        <v>15</v>
      </c>
      <c r="D949" s="18">
        <v>45860</v>
      </c>
      <c r="E949" s="11" t="s">
        <v>1359</v>
      </c>
      <c r="F949" s="11" t="s">
        <v>283</v>
      </c>
      <c r="G949" s="19">
        <v>-64390</v>
      </c>
    </row>
    <row r="950" spans="1:7">
      <c r="A950" s="11" t="s">
        <v>104</v>
      </c>
      <c r="B950" s="11" t="s">
        <v>105</v>
      </c>
      <c r="C950" s="11" t="s">
        <v>14</v>
      </c>
      <c r="D950" s="18">
        <v>45860</v>
      </c>
      <c r="E950" s="11" t="s">
        <v>1359</v>
      </c>
      <c r="F950" s="11" t="s">
        <v>283</v>
      </c>
      <c r="G950" s="19">
        <v>64390</v>
      </c>
    </row>
    <row r="951" spans="1:7">
      <c r="A951" s="11" t="s">
        <v>173</v>
      </c>
      <c r="B951" s="11" t="s">
        <v>184</v>
      </c>
      <c r="C951" s="11" t="s">
        <v>15</v>
      </c>
      <c r="D951" s="18">
        <v>45860</v>
      </c>
      <c r="E951" s="11" t="s">
        <v>1360</v>
      </c>
      <c r="F951" s="11" t="s">
        <v>283</v>
      </c>
      <c r="G951" s="19">
        <v>-49860</v>
      </c>
    </row>
    <row r="952" spans="1:7">
      <c r="A952" s="11" t="s">
        <v>104</v>
      </c>
      <c r="B952" s="11" t="s">
        <v>105</v>
      </c>
      <c r="C952" s="11" t="s">
        <v>14</v>
      </c>
      <c r="D952" s="18">
        <v>45860</v>
      </c>
      <c r="E952" s="11" t="s">
        <v>1360</v>
      </c>
      <c r="F952" s="11" t="s">
        <v>283</v>
      </c>
      <c r="G952" s="19">
        <v>49860</v>
      </c>
    </row>
    <row r="953" spans="1:7">
      <c r="A953" s="11" t="s">
        <v>173</v>
      </c>
      <c r="B953" s="11" t="s">
        <v>184</v>
      </c>
      <c r="C953" s="11" t="s">
        <v>15</v>
      </c>
      <c r="D953" s="18">
        <v>45860</v>
      </c>
      <c r="E953" s="11" t="s">
        <v>1361</v>
      </c>
      <c r="F953" s="11" t="s">
        <v>283</v>
      </c>
      <c r="G953" s="19">
        <v>-69420</v>
      </c>
    </row>
    <row r="954" spans="1:7">
      <c r="A954" s="11" t="s">
        <v>104</v>
      </c>
      <c r="B954" s="11" t="s">
        <v>105</v>
      </c>
      <c r="C954" s="11" t="s">
        <v>14</v>
      </c>
      <c r="D954" s="18">
        <v>45860</v>
      </c>
      <c r="E954" s="11" t="s">
        <v>1361</v>
      </c>
      <c r="F954" s="11" t="s">
        <v>283</v>
      </c>
      <c r="G954" s="19">
        <v>69420</v>
      </c>
    </row>
    <row r="955" spans="1:7">
      <c r="A955" s="11" t="s">
        <v>65</v>
      </c>
      <c r="B955" s="11" t="s">
        <v>67</v>
      </c>
      <c r="C955" s="11" t="s">
        <v>25</v>
      </c>
      <c r="D955" s="18">
        <v>45861</v>
      </c>
      <c r="E955" s="11" t="s">
        <v>1362</v>
      </c>
      <c r="F955" s="11" t="s">
        <v>1253</v>
      </c>
      <c r="G955" s="19">
        <v>49990</v>
      </c>
    </row>
    <row r="956" spans="1:7">
      <c r="A956" s="11" t="s">
        <v>144</v>
      </c>
      <c r="B956" s="11" t="s">
        <v>148</v>
      </c>
      <c r="C956" s="11" t="s">
        <v>25</v>
      </c>
      <c r="D956" s="18">
        <v>45861</v>
      </c>
      <c r="E956" s="11" t="s">
        <v>1363</v>
      </c>
      <c r="F956" s="11" t="s">
        <v>1364</v>
      </c>
      <c r="G956" s="19">
        <v>1080000</v>
      </c>
    </row>
    <row r="957" spans="1:7">
      <c r="A957" s="11" t="s">
        <v>22</v>
      </c>
      <c r="B957" s="11" t="s">
        <v>119</v>
      </c>
      <c r="C957" s="11" t="s">
        <v>120</v>
      </c>
      <c r="D957" s="18">
        <v>45861</v>
      </c>
      <c r="E957" s="11" t="s">
        <v>1365</v>
      </c>
      <c r="F957" s="11" t="s">
        <v>1005</v>
      </c>
      <c r="G957" s="19">
        <v>60700</v>
      </c>
    </row>
    <row r="958" spans="1:7">
      <c r="A958" s="11" t="s">
        <v>144</v>
      </c>
      <c r="B958" s="11" t="s">
        <v>147</v>
      </c>
      <c r="C958" s="11" t="s">
        <v>25</v>
      </c>
      <c r="D958" s="18">
        <v>45861</v>
      </c>
      <c r="E958" s="11" t="s">
        <v>1366</v>
      </c>
      <c r="F958" s="11" t="s">
        <v>445</v>
      </c>
      <c r="G958" s="19">
        <v>615880</v>
      </c>
    </row>
    <row r="959" spans="1:7">
      <c r="A959" s="11" t="s">
        <v>72</v>
      </c>
      <c r="B959" s="11" t="s">
        <v>192</v>
      </c>
      <c r="C959" s="11" t="s">
        <v>120</v>
      </c>
      <c r="D959" s="18">
        <v>45861</v>
      </c>
      <c r="E959" s="11" t="s">
        <v>1366</v>
      </c>
      <c r="F959" s="11" t="s">
        <v>446</v>
      </c>
      <c r="G959" s="19">
        <v>700000</v>
      </c>
    </row>
    <row r="960" spans="1:7">
      <c r="A960" s="11" t="s">
        <v>144</v>
      </c>
      <c r="B960" s="11" t="s">
        <v>154</v>
      </c>
      <c r="C960" s="11" t="s">
        <v>25</v>
      </c>
      <c r="D960" s="18">
        <v>45861</v>
      </c>
      <c r="E960" s="11" t="s">
        <v>1366</v>
      </c>
      <c r="F960" s="11" t="s">
        <v>445</v>
      </c>
      <c r="G960" s="19">
        <v>434120</v>
      </c>
    </row>
    <row r="961" spans="1:7">
      <c r="A961" s="11" t="s">
        <v>72</v>
      </c>
      <c r="B961" s="11" t="s">
        <v>192</v>
      </c>
      <c r="C961" s="11" t="s">
        <v>25</v>
      </c>
      <c r="D961" s="18">
        <v>45861</v>
      </c>
      <c r="E961" s="11" t="s">
        <v>1367</v>
      </c>
      <c r="F961" s="11" t="s">
        <v>654</v>
      </c>
      <c r="G961" s="19">
        <v>1125000</v>
      </c>
    </row>
    <row r="962" spans="1:7">
      <c r="A962" s="11" t="s">
        <v>38</v>
      </c>
      <c r="B962" s="11" t="s">
        <v>137</v>
      </c>
      <c r="C962" s="11" t="s">
        <v>15</v>
      </c>
      <c r="D962" s="18">
        <v>45861</v>
      </c>
      <c r="E962" s="11" t="s">
        <v>1368</v>
      </c>
      <c r="F962" s="11" t="s">
        <v>326</v>
      </c>
      <c r="G962" s="19">
        <v>376800</v>
      </c>
    </row>
    <row r="963" spans="1:7">
      <c r="A963" s="11" t="s">
        <v>144</v>
      </c>
      <c r="B963" s="11" t="s">
        <v>148</v>
      </c>
      <c r="C963" s="11" t="s">
        <v>25</v>
      </c>
      <c r="D963" s="18">
        <v>45861</v>
      </c>
      <c r="E963" s="11" t="s">
        <v>1369</v>
      </c>
      <c r="F963" s="11" t="s">
        <v>695</v>
      </c>
      <c r="G963" s="19">
        <v>735000</v>
      </c>
    </row>
    <row r="964" spans="1:7">
      <c r="A964" s="11" t="s">
        <v>160</v>
      </c>
      <c r="B964" s="11" t="s">
        <v>161</v>
      </c>
      <c r="C964" s="11" t="s">
        <v>25</v>
      </c>
      <c r="D964" s="18">
        <v>45861</v>
      </c>
      <c r="E964" s="11" t="s">
        <v>1370</v>
      </c>
      <c r="F964" s="11" t="s">
        <v>775</v>
      </c>
      <c r="G964" s="19">
        <v>560000</v>
      </c>
    </row>
    <row r="965" spans="1:7">
      <c r="A965" s="11" t="s">
        <v>160</v>
      </c>
      <c r="B965" s="11" t="s">
        <v>161</v>
      </c>
      <c r="C965" s="11" t="s">
        <v>25</v>
      </c>
      <c r="D965" s="18">
        <v>45861</v>
      </c>
      <c r="E965" s="11" t="s">
        <v>1371</v>
      </c>
      <c r="F965" s="11" t="s">
        <v>448</v>
      </c>
      <c r="G965" s="19">
        <v>315000</v>
      </c>
    </row>
    <row r="966" spans="1:7">
      <c r="A966" s="11" t="s">
        <v>160</v>
      </c>
      <c r="B966" s="11" t="s">
        <v>162</v>
      </c>
      <c r="C966" s="11" t="s">
        <v>13</v>
      </c>
      <c r="D966" s="18">
        <v>45861</v>
      </c>
      <c r="E966" s="11" t="s">
        <v>1372</v>
      </c>
      <c r="F966" s="11" t="s">
        <v>1373</v>
      </c>
      <c r="G966" s="19">
        <v>4504000</v>
      </c>
    </row>
    <row r="967" spans="1:7">
      <c r="A967" s="11" t="s">
        <v>28</v>
      </c>
      <c r="B967" s="11" t="s">
        <v>29</v>
      </c>
      <c r="C967" s="11" t="s">
        <v>30</v>
      </c>
      <c r="D967" s="18">
        <v>45863</v>
      </c>
      <c r="E967" s="11" t="s">
        <v>1374</v>
      </c>
      <c r="F967" s="11" t="s">
        <v>321</v>
      </c>
      <c r="G967" s="19">
        <v>1346290</v>
      </c>
    </row>
    <row r="968" spans="1:7">
      <c r="A968" s="11" t="s">
        <v>87</v>
      </c>
      <c r="B968" s="11" t="s">
        <v>30</v>
      </c>
      <c r="C968" s="11" t="s">
        <v>30</v>
      </c>
      <c r="D968" s="18">
        <v>45863</v>
      </c>
      <c r="E968" s="11" t="s">
        <v>1375</v>
      </c>
      <c r="F968" s="11" t="s">
        <v>321</v>
      </c>
      <c r="G968" s="19">
        <v>3277840</v>
      </c>
    </row>
    <row r="969" spans="1:7">
      <c r="A969" s="11" t="s">
        <v>87</v>
      </c>
      <c r="B969" s="11" t="s">
        <v>88</v>
      </c>
      <c r="C969" s="11" t="s">
        <v>92</v>
      </c>
      <c r="D969" s="18">
        <v>45863</v>
      </c>
      <c r="E969" s="11" t="s">
        <v>1376</v>
      </c>
      <c r="F969" s="11" t="s">
        <v>323</v>
      </c>
      <c r="G969" s="19">
        <v>13200</v>
      </c>
    </row>
    <row r="970" spans="1:7">
      <c r="A970" s="11" t="s">
        <v>38</v>
      </c>
      <c r="B970" s="11" t="s">
        <v>136</v>
      </c>
      <c r="C970" s="11" t="s">
        <v>15</v>
      </c>
      <c r="D970" s="18">
        <v>45863</v>
      </c>
      <c r="E970" s="11" t="s">
        <v>1377</v>
      </c>
      <c r="F970" s="11" t="s">
        <v>326</v>
      </c>
      <c r="G970" s="19">
        <v>267320</v>
      </c>
    </row>
    <row r="971" spans="1:7">
      <c r="A971" s="11" t="s">
        <v>75</v>
      </c>
      <c r="B971" s="11" t="s">
        <v>76</v>
      </c>
      <c r="C971" s="11" t="s">
        <v>15</v>
      </c>
      <c r="D971" s="18">
        <v>45866</v>
      </c>
      <c r="E971" s="11" t="s">
        <v>1378</v>
      </c>
      <c r="F971" s="11" t="s">
        <v>344</v>
      </c>
      <c r="G971" s="19">
        <v>1166000</v>
      </c>
    </row>
    <row r="972" spans="1:7">
      <c r="A972" s="11" t="s">
        <v>38</v>
      </c>
      <c r="B972" s="11" t="s">
        <v>39</v>
      </c>
      <c r="C972" s="11" t="s">
        <v>15</v>
      </c>
      <c r="D972" s="18">
        <v>45866</v>
      </c>
      <c r="E972" s="11" t="s">
        <v>1379</v>
      </c>
      <c r="F972" s="11" t="s">
        <v>330</v>
      </c>
      <c r="G972" s="19">
        <v>16500</v>
      </c>
    </row>
    <row r="973" spans="1:7">
      <c r="A973" s="11" t="s">
        <v>87</v>
      </c>
      <c r="B973" s="11" t="s">
        <v>88</v>
      </c>
      <c r="C973" s="11" t="s">
        <v>92</v>
      </c>
      <c r="D973" s="18">
        <v>45866</v>
      </c>
      <c r="E973" s="11" t="s">
        <v>1380</v>
      </c>
      <c r="F973" s="11" t="s">
        <v>330</v>
      </c>
      <c r="G973" s="19">
        <v>788970</v>
      </c>
    </row>
    <row r="974" spans="1:7">
      <c r="A974" s="11" t="s">
        <v>87</v>
      </c>
      <c r="B974" s="11" t="s">
        <v>210</v>
      </c>
      <c r="C974" s="11" t="s">
        <v>15</v>
      </c>
      <c r="D974" s="18">
        <v>45866</v>
      </c>
      <c r="E974" s="11" t="s">
        <v>1381</v>
      </c>
      <c r="F974" s="11" t="s">
        <v>384</v>
      </c>
      <c r="G974" s="19">
        <v>6310760</v>
      </c>
    </row>
    <row r="975" spans="1:7">
      <c r="A975" s="11" t="s">
        <v>38</v>
      </c>
      <c r="B975" s="11" t="s">
        <v>138</v>
      </c>
      <c r="C975" s="11" t="s">
        <v>15</v>
      </c>
      <c r="D975" s="18">
        <v>45866</v>
      </c>
      <c r="E975" s="11" t="s">
        <v>1382</v>
      </c>
      <c r="F975" s="11" t="s">
        <v>348</v>
      </c>
      <c r="G975" s="19">
        <v>1067820</v>
      </c>
    </row>
    <row r="976" spans="1:7">
      <c r="A976" s="11" t="s">
        <v>87</v>
      </c>
      <c r="B976" s="11" t="s">
        <v>94</v>
      </c>
      <c r="C976" s="11" t="s">
        <v>15</v>
      </c>
      <c r="D976" s="18">
        <v>45866</v>
      </c>
      <c r="E976" s="11" t="s">
        <v>1383</v>
      </c>
      <c r="F976" s="11" t="s">
        <v>352</v>
      </c>
      <c r="G976" s="19">
        <v>4096220</v>
      </c>
    </row>
    <row r="977" spans="1:7">
      <c r="A977" s="11" t="s">
        <v>87</v>
      </c>
      <c r="B977" s="11" t="s">
        <v>97</v>
      </c>
      <c r="C977" s="11" t="s">
        <v>15</v>
      </c>
      <c r="D977" s="18">
        <v>45866</v>
      </c>
      <c r="E977" s="11" t="s">
        <v>1384</v>
      </c>
      <c r="F977" s="11" t="s">
        <v>350</v>
      </c>
      <c r="G977" s="19">
        <v>4551520</v>
      </c>
    </row>
    <row r="978" spans="1:7">
      <c r="A978" s="11" t="s">
        <v>87</v>
      </c>
      <c r="B978" s="11" t="s">
        <v>94</v>
      </c>
      <c r="C978" s="11" t="s">
        <v>15</v>
      </c>
      <c r="D978" s="18">
        <v>45866</v>
      </c>
      <c r="E978" s="11" t="s">
        <v>1385</v>
      </c>
      <c r="F978" s="11" t="s">
        <v>340</v>
      </c>
      <c r="G978" s="19">
        <v>198000</v>
      </c>
    </row>
    <row r="979" spans="1:7">
      <c r="A979" s="11" t="s">
        <v>87</v>
      </c>
      <c r="B979" s="11" t="s">
        <v>94</v>
      </c>
      <c r="C979" s="11" t="s">
        <v>15</v>
      </c>
      <c r="D979" s="18">
        <v>45866</v>
      </c>
      <c r="E979" s="11" t="s">
        <v>1386</v>
      </c>
      <c r="F979" s="11" t="s">
        <v>342</v>
      </c>
      <c r="G979" s="19">
        <v>660000</v>
      </c>
    </row>
    <row r="980" spans="1:7">
      <c r="A980" s="11" t="s">
        <v>87</v>
      </c>
      <c r="B980" s="11" t="s">
        <v>94</v>
      </c>
      <c r="C980" s="11" t="s">
        <v>15</v>
      </c>
      <c r="D980" s="18">
        <v>45866</v>
      </c>
      <c r="E980" s="11" t="s">
        <v>1387</v>
      </c>
      <c r="F980" s="11" t="s">
        <v>346</v>
      </c>
      <c r="G980" s="19">
        <v>330000</v>
      </c>
    </row>
    <row r="981" spans="1:7">
      <c r="A981" s="11" t="s">
        <v>72</v>
      </c>
      <c r="B981" s="11" t="s">
        <v>192</v>
      </c>
      <c r="C981" s="11" t="s">
        <v>25</v>
      </c>
      <c r="D981" s="18">
        <v>45866</v>
      </c>
      <c r="E981" s="11" t="s">
        <v>1388</v>
      </c>
      <c r="F981" s="11" t="s">
        <v>399</v>
      </c>
      <c r="G981" s="19">
        <v>1975000</v>
      </c>
    </row>
    <row r="982" spans="1:7">
      <c r="A982" s="11" t="s">
        <v>144</v>
      </c>
      <c r="B982" s="11" t="s">
        <v>150</v>
      </c>
      <c r="C982" s="11" t="s">
        <v>25</v>
      </c>
      <c r="D982" s="18">
        <v>45866</v>
      </c>
      <c r="E982" s="11" t="s">
        <v>1388</v>
      </c>
      <c r="F982" s="11" t="s">
        <v>398</v>
      </c>
      <c r="G982" s="19">
        <v>1200000</v>
      </c>
    </row>
    <row r="983" spans="1:7">
      <c r="A983" s="11" t="s">
        <v>74</v>
      </c>
      <c r="B983" s="11" t="s">
        <v>193</v>
      </c>
      <c r="C983" s="11" t="s">
        <v>15</v>
      </c>
      <c r="D983" s="18">
        <v>45866</v>
      </c>
      <c r="E983" s="11" t="s">
        <v>1389</v>
      </c>
      <c r="F983" s="11" t="s">
        <v>225</v>
      </c>
      <c r="G983" s="19">
        <v>77000</v>
      </c>
    </row>
    <row r="984" spans="1:7">
      <c r="A984" s="11" t="s">
        <v>28</v>
      </c>
      <c r="B984" s="11" t="s">
        <v>127</v>
      </c>
      <c r="C984" s="11" t="s">
        <v>15</v>
      </c>
      <c r="D984" s="18">
        <v>45866</v>
      </c>
      <c r="E984" s="11" t="s">
        <v>1390</v>
      </c>
      <c r="F984" s="11" t="s">
        <v>319</v>
      </c>
      <c r="G984" s="19">
        <v>125400</v>
      </c>
    </row>
    <row r="985" spans="1:7">
      <c r="A985" s="11" t="s">
        <v>173</v>
      </c>
      <c r="B985" s="11" t="s">
        <v>175</v>
      </c>
      <c r="C985" s="11" t="s">
        <v>13</v>
      </c>
      <c r="D985" s="18">
        <v>45866</v>
      </c>
      <c r="E985" s="11" t="s">
        <v>1391</v>
      </c>
      <c r="F985" s="11" t="s">
        <v>393</v>
      </c>
      <c r="G985" s="19">
        <v>570000</v>
      </c>
    </row>
    <row r="986" spans="1:7">
      <c r="A986" s="11" t="s">
        <v>173</v>
      </c>
      <c r="B986" s="11" t="s">
        <v>176</v>
      </c>
      <c r="C986" s="11" t="s">
        <v>13</v>
      </c>
      <c r="D986" s="18">
        <v>45866</v>
      </c>
      <c r="E986" s="11" t="s">
        <v>1391</v>
      </c>
      <c r="F986" s="11" t="s">
        <v>394</v>
      </c>
      <c r="G986" s="19">
        <v>374000</v>
      </c>
    </row>
    <row r="987" spans="1:7">
      <c r="A987" s="11" t="s">
        <v>43</v>
      </c>
      <c r="B987" s="11" t="s">
        <v>141</v>
      </c>
      <c r="C987" s="11" t="s">
        <v>13</v>
      </c>
      <c r="D987" s="18">
        <v>45866</v>
      </c>
      <c r="E987" s="11" t="s">
        <v>1392</v>
      </c>
      <c r="F987" s="11" t="s">
        <v>1015</v>
      </c>
      <c r="G987" s="19">
        <v>1032000</v>
      </c>
    </row>
    <row r="988" spans="1:7">
      <c r="A988" s="11" t="s">
        <v>28</v>
      </c>
      <c r="B988" s="11" t="s">
        <v>29</v>
      </c>
      <c r="C988" s="11" t="s">
        <v>15</v>
      </c>
      <c r="D988" s="18">
        <v>45866</v>
      </c>
      <c r="E988" s="11" t="s">
        <v>1393</v>
      </c>
      <c r="F988" s="11" t="s">
        <v>405</v>
      </c>
      <c r="G988" s="19">
        <v>595800</v>
      </c>
    </row>
    <row r="989" spans="1:7">
      <c r="A989" s="11" t="s">
        <v>38</v>
      </c>
      <c r="B989" s="11" t="s">
        <v>136</v>
      </c>
      <c r="C989" s="11" t="s">
        <v>15</v>
      </c>
      <c r="D989" s="18">
        <v>45866</v>
      </c>
      <c r="E989" s="11" t="s">
        <v>1394</v>
      </c>
      <c r="F989" s="11" t="s">
        <v>335</v>
      </c>
      <c r="G989" s="19">
        <v>858600</v>
      </c>
    </row>
    <row r="990" spans="1:7">
      <c r="A990" s="11" t="s">
        <v>104</v>
      </c>
      <c r="B990" s="11" t="s">
        <v>108</v>
      </c>
      <c r="C990" s="11" t="s">
        <v>15</v>
      </c>
      <c r="D990" s="18">
        <v>45866</v>
      </c>
      <c r="E990" s="11" t="s">
        <v>1395</v>
      </c>
      <c r="F990" s="11" t="s">
        <v>255</v>
      </c>
      <c r="G990" s="19">
        <v>780</v>
      </c>
    </row>
    <row r="991" spans="1:7">
      <c r="A991" s="11" t="s">
        <v>173</v>
      </c>
      <c r="B991" s="11" t="s">
        <v>180</v>
      </c>
      <c r="C991" s="11" t="s">
        <v>13</v>
      </c>
      <c r="D991" s="18">
        <v>45867</v>
      </c>
      <c r="E991" s="11" t="s">
        <v>1396</v>
      </c>
      <c r="F991" s="11" t="s">
        <v>558</v>
      </c>
      <c r="G991" s="19">
        <v>-75000</v>
      </c>
    </row>
    <row r="992" spans="1:7">
      <c r="A992" s="11" t="s">
        <v>70</v>
      </c>
      <c r="B992" s="11" t="s">
        <v>191</v>
      </c>
      <c r="C992" s="11" t="s">
        <v>25</v>
      </c>
      <c r="D992" s="18">
        <v>45867</v>
      </c>
      <c r="E992" s="11" t="s">
        <v>1397</v>
      </c>
      <c r="F992" s="11" t="s">
        <v>659</v>
      </c>
      <c r="G992" s="19">
        <v>375000</v>
      </c>
    </row>
    <row r="993" spans="1:7">
      <c r="A993" s="11" t="s">
        <v>22</v>
      </c>
      <c r="B993" s="11" t="s">
        <v>121</v>
      </c>
      <c r="C993" s="11" t="s">
        <v>122</v>
      </c>
      <c r="D993" s="18">
        <v>45867</v>
      </c>
      <c r="E993" s="11" t="s">
        <v>1398</v>
      </c>
      <c r="F993" s="11" t="s">
        <v>1399</v>
      </c>
      <c r="G993" s="19">
        <v>2590000</v>
      </c>
    </row>
    <row r="994" spans="1:7">
      <c r="A994" s="11" t="s">
        <v>173</v>
      </c>
      <c r="B994" s="11" t="s">
        <v>180</v>
      </c>
      <c r="C994" s="11" t="s">
        <v>151</v>
      </c>
      <c r="D994" s="18">
        <v>45867</v>
      </c>
      <c r="E994" s="11" t="s">
        <v>1400</v>
      </c>
      <c r="F994" s="11" t="s">
        <v>502</v>
      </c>
      <c r="G994" s="19">
        <v>42170</v>
      </c>
    </row>
    <row r="995" spans="1:7">
      <c r="A995" s="11" t="s">
        <v>104</v>
      </c>
      <c r="B995" s="11" t="s">
        <v>108</v>
      </c>
      <c r="C995" s="11" t="s">
        <v>15</v>
      </c>
      <c r="D995" s="18">
        <v>45867</v>
      </c>
      <c r="E995" s="11" t="s">
        <v>1401</v>
      </c>
      <c r="F995" s="11" t="s">
        <v>255</v>
      </c>
      <c r="G995" s="19">
        <v>3480</v>
      </c>
    </row>
    <row r="996" spans="1:7">
      <c r="A996" s="11" t="s">
        <v>22</v>
      </c>
      <c r="B996" s="11" t="s">
        <v>119</v>
      </c>
      <c r="C996" s="11" t="s">
        <v>120</v>
      </c>
      <c r="D996" s="18">
        <v>45868</v>
      </c>
      <c r="E996" s="11" t="s">
        <v>1402</v>
      </c>
      <c r="F996" s="11" t="s">
        <v>338</v>
      </c>
      <c r="G996" s="19">
        <v>84980</v>
      </c>
    </row>
    <row r="997" spans="1:7">
      <c r="A997" s="11" t="s">
        <v>173</v>
      </c>
      <c r="B997" s="11" t="s">
        <v>180</v>
      </c>
      <c r="C997" s="11" t="s">
        <v>25</v>
      </c>
      <c r="D997" s="18">
        <v>45868</v>
      </c>
      <c r="E997" s="11" t="s">
        <v>1403</v>
      </c>
      <c r="F997" s="11" t="s">
        <v>249</v>
      </c>
      <c r="G997" s="19">
        <v>640000</v>
      </c>
    </row>
    <row r="998" spans="1:7">
      <c r="A998" s="11" t="s">
        <v>173</v>
      </c>
      <c r="B998" s="11" t="s">
        <v>174</v>
      </c>
      <c r="C998" s="11" t="s">
        <v>13</v>
      </c>
      <c r="D998" s="18">
        <v>45868</v>
      </c>
      <c r="E998" s="11" t="s">
        <v>1404</v>
      </c>
      <c r="F998" s="11" t="s">
        <v>225</v>
      </c>
      <c r="G998" s="19">
        <v>55000</v>
      </c>
    </row>
    <row r="999" spans="1:7">
      <c r="A999" s="11" t="s">
        <v>28</v>
      </c>
      <c r="B999" s="11" t="s">
        <v>123</v>
      </c>
      <c r="C999" s="11" t="s">
        <v>15</v>
      </c>
      <c r="D999" s="18">
        <v>45868</v>
      </c>
      <c r="E999" s="11" t="s">
        <v>1405</v>
      </c>
      <c r="F999" s="11" t="s">
        <v>428</v>
      </c>
      <c r="G999" s="19">
        <v>8503860</v>
      </c>
    </row>
    <row r="1000" spans="1:7">
      <c r="A1000" s="11" t="s">
        <v>55</v>
      </c>
      <c r="B1000" s="11" t="s">
        <v>163</v>
      </c>
      <c r="C1000" s="11" t="s">
        <v>120</v>
      </c>
      <c r="D1000" s="18">
        <v>45869</v>
      </c>
      <c r="E1000" s="11" t="s">
        <v>1406</v>
      </c>
      <c r="F1000" s="11" t="s">
        <v>372</v>
      </c>
      <c r="G1000" s="19">
        <v>1942400</v>
      </c>
    </row>
    <row r="1001" spans="1:7">
      <c r="A1001" s="11" t="s">
        <v>109</v>
      </c>
      <c r="B1001" s="11" t="s">
        <v>215</v>
      </c>
      <c r="C1001" s="11" t="s">
        <v>120</v>
      </c>
      <c r="D1001" s="18">
        <v>45869</v>
      </c>
      <c r="E1001" s="11" t="s">
        <v>1407</v>
      </c>
      <c r="F1001" s="11" t="s">
        <v>370</v>
      </c>
      <c r="G1001" s="19">
        <v>1311120</v>
      </c>
    </row>
    <row r="1002" spans="1:7">
      <c r="A1002" s="11" t="s">
        <v>200</v>
      </c>
      <c r="B1002" s="11" t="s">
        <v>201</v>
      </c>
      <c r="C1002" s="11" t="s">
        <v>120</v>
      </c>
      <c r="D1002" s="18">
        <v>45869</v>
      </c>
      <c r="E1002" s="11" t="s">
        <v>1408</v>
      </c>
      <c r="F1002" s="11" t="s">
        <v>368</v>
      </c>
      <c r="G1002" s="19">
        <v>4416540</v>
      </c>
    </row>
    <row r="1003" spans="1:7">
      <c r="A1003" s="11" t="s">
        <v>22</v>
      </c>
      <c r="B1003" s="11" t="s">
        <v>119</v>
      </c>
      <c r="C1003" s="11" t="s">
        <v>120</v>
      </c>
      <c r="D1003" s="18">
        <v>45869</v>
      </c>
      <c r="E1003" s="11" t="s">
        <v>1409</v>
      </c>
      <c r="F1003" s="11" t="s">
        <v>1410</v>
      </c>
      <c r="G1003" s="19">
        <v>11449030</v>
      </c>
    </row>
    <row r="1004" spans="1:7">
      <c r="A1004" s="11" t="s">
        <v>173</v>
      </c>
      <c r="B1004" s="11" t="s">
        <v>179</v>
      </c>
      <c r="C1004" s="11" t="s">
        <v>15</v>
      </c>
      <c r="D1004" s="18">
        <v>45869</v>
      </c>
      <c r="E1004" s="11" t="s">
        <v>1411</v>
      </c>
      <c r="F1004" s="11" t="s">
        <v>651</v>
      </c>
      <c r="G1004" s="19">
        <v>607000</v>
      </c>
    </row>
    <row r="1005" spans="1:7">
      <c r="A1005" s="11" t="s">
        <v>173</v>
      </c>
      <c r="B1005" s="11" t="s">
        <v>180</v>
      </c>
      <c r="C1005" s="11" t="s">
        <v>25</v>
      </c>
      <c r="D1005" s="18">
        <v>45869</v>
      </c>
      <c r="E1005" s="11" t="s">
        <v>1412</v>
      </c>
      <c r="F1005" s="11" t="s">
        <v>1413</v>
      </c>
      <c r="G1005" s="19">
        <v>8480000</v>
      </c>
    </row>
    <row r="1006" spans="1:7">
      <c r="A1006" s="11" t="s">
        <v>173</v>
      </c>
      <c r="B1006" s="11" t="s">
        <v>178</v>
      </c>
      <c r="C1006" s="11" t="s">
        <v>13</v>
      </c>
      <c r="D1006" s="18">
        <v>45869</v>
      </c>
      <c r="E1006" s="11" t="s">
        <v>1414</v>
      </c>
      <c r="F1006" s="11" t="s">
        <v>389</v>
      </c>
      <c r="G1006" s="19">
        <v>7290000</v>
      </c>
    </row>
    <row r="1007" spans="1:7">
      <c r="A1007" s="11" t="s">
        <v>87</v>
      </c>
      <c r="B1007" s="11" t="s">
        <v>89</v>
      </c>
      <c r="C1007" s="11" t="s">
        <v>89</v>
      </c>
      <c r="D1007" s="18">
        <v>45869</v>
      </c>
      <c r="E1007" s="11" t="s">
        <v>1415</v>
      </c>
      <c r="F1007" s="11" t="s">
        <v>382</v>
      </c>
      <c r="G1007" s="19">
        <v>3772320</v>
      </c>
    </row>
    <row r="1008" spans="1:7">
      <c r="A1008" s="11" t="s">
        <v>87</v>
      </c>
      <c r="B1008" s="11" t="s">
        <v>90</v>
      </c>
      <c r="C1008" s="11" t="s">
        <v>90</v>
      </c>
      <c r="D1008" s="18">
        <v>45869</v>
      </c>
      <c r="E1008" s="11" t="s">
        <v>1416</v>
      </c>
      <c r="F1008" s="11" t="s">
        <v>380</v>
      </c>
      <c r="G1008" s="19">
        <v>4141400</v>
      </c>
    </row>
    <row r="1009" spans="1:7">
      <c r="A1009" s="11" t="s">
        <v>173</v>
      </c>
      <c r="B1009" s="11" t="s">
        <v>179</v>
      </c>
      <c r="C1009" s="11" t="s">
        <v>15</v>
      </c>
      <c r="D1009" s="18">
        <v>45869</v>
      </c>
      <c r="E1009" s="11" t="s">
        <v>1417</v>
      </c>
      <c r="F1009" s="11" t="s">
        <v>1418</v>
      </c>
      <c r="G1009" s="19">
        <v>180000</v>
      </c>
    </row>
    <row r="1010" spans="1:7">
      <c r="A1010" s="11" t="s">
        <v>28</v>
      </c>
      <c r="B1010" s="11" t="s">
        <v>125</v>
      </c>
      <c r="C1010" s="11" t="s">
        <v>32</v>
      </c>
      <c r="D1010" s="18">
        <v>45869</v>
      </c>
      <c r="E1010" s="11" t="s">
        <v>1419</v>
      </c>
      <c r="F1010" s="11" t="s">
        <v>687</v>
      </c>
      <c r="G1010" s="19">
        <v>99000</v>
      </c>
    </row>
    <row r="1011" spans="1:7">
      <c r="A1011" s="11" t="s">
        <v>87</v>
      </c>
      <c r="B1011" s="11" t="s">
        <v>89</v>
      </c>
      <c r="C1011" s="11" t="s">
        <v>89</v>
      </c>
      <c r="D1011" s="18">
        <v>45869</v>
      </c>
      <c r="E1011" s="11" t="s">
        <v>1420</v>
      </c>
      <c r="F1011" s="11" t="s">
        <v>378</v>
      </c>
      <c r="G1011" s="19">
        <v>2500</v>
      </c>
    </row>
    <row r="1012" spans="1:7">
      <c r="A1012" s="11" t="s">
        <v>104</v>
      </c>
      <c r="B1012" s="11" t="s">
        <v>105</v>
      </c>
      <c r="C1012" s="11" t="s">
        <v>107</v>
      </c>
      <c r="D1012" s="18">
        <v>45870</v>
      </c>
      <c r="E1012" s="11" t="s">
        <v>1421</v>
      </c>
      <c r="F1012" s="11" t="s">
        <v>231</v>
      </c>
      <c r="G1012" s="19">
        <v>370000</v>
      </c>
    </row>
    <row r="1013" spans="1:7">
      <c r="A1013" s="11" t="s">
        <v>45</v>
      </c>
      <c r="B1013" s="11" t="s">
        <v>143</v>
      </c>
      <c r="C1013" s="11" t="s">
        <v>15</v>
      </c>
      <c r="D1013" s="18">
        <v>45873</v>
      </c>
      <c r="E1013" s="11" t="s">
        <v>1422</v>
      </c>
      <c r="F1013" s="11" t="s">
        <v>426</v>
      </c>
      <c r="G1013" s="19">
        <v>7747920</v>
      </c>
    </row>
    <row r="1014" spans="1:7">
      <c r="A1014" s="11" t="s">
        <v>28</v>
      </c>
      <c r="B1014" s="11" t="s">
        <v>125</v>
      </c>
      <c r="C1014" s="11" t="s">
        <v>32</v>
      </c>
      <c r="D1014" s="18">
        <v>45873</v>
      </c>
      <c r="E1014" s="11" t="s">
        <v>1423</v>
      </c>
      <c r="F1014" s="11" t="s">
        <v>413</v>
      </c>
      <c r="G1014" s="19">
        <v>9982140</v>
      </c>
    </row>
    <row r="1015" spans="1:7">
      <c r="A1015" s="11" t="s">
        <v>28</v>
      </c>
      <c r="B1015" s="11" t="s">
        <v>125</v>
      </c>
      <c r="C1015" s="11" t="s">
        <v>32</v>
      </c>
      <c r="D1015" s="18">
        <v>45873</v>
      </c>
      <c r="E1015" s="11" t="s">
        <v>1424</v>
      </c>
      <c r="F1015" s="11" t="s">
        <v>411</v>
      </c>
      <c r="G1015" s="19">
        <v>15163280</v>
      </c>
    </row>
    <row r="1016" spans="1:7">
      <c r="A1016" s="11" t="s">
        <v>28</v>
      </c>
      <c r="B1016" s="11" t="s">
        <v>125</v>
      </c>
      <c r="C1016" s="11" t="s">
        <v>32</v>
      </c>
      <c r="D1016" s="18">
        <v>45873</v>
      </c>
      <c r="E1016" s="11" t="s">
        <v>1425</v>
      </c>
      <c r="F1016" s="11" t="s">
        <v>417</v>
      </c>
      <c r="G1016" s="19">
        <v>3561000</v>
      </c>
    </row>
    <row r="1017" spans="1:7">
      <c r="A1017" s="11" t="s">
        <v>28</v>
      </c>
      <c r="B1017" s="11" t="s">
        <v>125</v>
      </c>
      <c r="C1017" s="11" t="s">
        <v>32</v>
      </c>
      <c r="D1017" s="18">
        <v>45873</v>
      </c>
      <c r="E1017" s="11" t="s">
        <v>1426</v>
      </c>
      <c r="F1017" s="11" t="s">
        <v>415</v>
      </c>
      <c r="G1017" s="19">
        <v>6614760</v>
      </c>
    </row>
    <row r="1018" spans="1:7">
      <c r="A1018" s="11" t="s">
        <v>28</v>
      </c>
      <c r="B1018" s="11" t="s">
        <v>125</v>
      </c>
      <c r="C1018" s="11" t="s">
        <v>32</v>
      </c>
      <c r="D1018" s="18">
        <v>45873</v>
      </c>
      <c r="E1018" s="11" t="s">
        <v>1427</v>
      </c>
      <c r="F1018" s="11" t="s">
        <v>683</v>
      </c>
      <c r="G1018" s="19">
        <v>2935050</v>
      </c>
    </row>
    <row r="1019" spans="1:7">
      <c r="A1019" s="11" t="s">
        <v>28</v>
      </c>
      <c r="B1019" s="11" t="s">
        <v>125</v>
      </c>
      <c r="C1019" s="11" t="s">
        <v>32</v>
      </c>
      <c r="D1019" s="18">
        <v>45873</v>
      </c>
      <c r="E1019" s="11" t="s">
        <v>1428</v>
      </c>
      <c r="F1019" s="11" t="s">
        <v>1429</v>
      </c>
      <c r="G1019" s="19">
        <v>17850180</v>
      </c>
    </row>
    <row r="1020" spans="1:7">
      <c r="A1020" s="11" t="s">
        <v>28</v>
      </c>
      <c r="B1020" s="11" t="s">
        <v>125</v>
      </c>
      <c r="C1020" s="11" t="s">
        <v>32</v>
      </c>
      <c r="D1020" s="18">
        <v>45873</v>
      </c>
      <c r="E1020" s="11" t="s">
        <v>1430</v>
      </c>
      <c r="F1020" s="11" t="s">
        <v>407</v>
      </c>
      <c r="G1020" s="19">
        <v>4706822</v>
      </c>
    </row>
    <row r="1021" spans="1:7">
      <c r="A1021" s="11" t="s">
        <v>28</v>
      </c>
      <c r="B1021" s="11" t="s">
        <v>127</v>
      </c>
      <c r="C1021" s="11" t="s">
        <v>32</v>
      </c>
      <c r="D1021" s="18">
        <v>45873</v>
      </c>
      <c r="E1021" s="11" t="s">
        <v>1430</v>
      </c>
      <c r="F1021" s="11" t="s">
        <v>407</v>
      </c>
      <c r="G1021" s="19">
        <v>400208</v>
      </c>
    </row>
    <row r="1022" spans="1:7">
      <c r="A1022" s="11" t="s">
        <v>130</v>
      </c>
      <c r="B1022" s="11" t="s">
        <v>132</v>
      </c>
      <c r="C1022" s="11" t="s">
        <v>15</v>
      </c>
      <c r="D1022" s="18">
        <v>45873</v>
      </c>
      <c r="E1022" s="11" t="s">
        <v>1431</v>
      </c>
      <c r="F1022" s="11" t="s">
        <v>1432</v>
      </c>
      <c r="G1022" s="19">
        <v>660000</v>
      </c>
    </row>
    <row r="1023" spans="1:7">
      <c r="A1023" s="11" t="s">
        <v>200</v>
      </c>
      <c r="B1023" s="11" t="s">
        <v>201</v>
      </c>
      <c r="C1023" s="11" t="s">
        <v>120</v>
      </c>
      <c r="D1023" s="18">
        <v>45873</v>
      </c>
      <c r="E1023" s="11" t="s">
        <v>1433</v>
      </c>
      <c r="F1023" s="11" t="s">
        <v>1434</v>
      </c>
      <c r="G1023" s="19">
        <v>689920</v>
      </c>
    </row>
    <row r="1024" spans="1:7">
      <c r="A1024" s="11" t="s">
        <v>22</v>
      </c>
      <c r="B1024" s="11" t="s">
        <v>119</v>
      </c>
      <c r="C1024" s="11" t="s">
        <v>120</v>
      </c>
      <c r="D1024" s="18">
        <v>45873</v>
      </c>
      <c r="E1024" s="11" t="s">
        <v>1435</v>
      </c>
      <c r="F1024" s="11" t="s">
        <v>502</v>
      </c>
      <c r="G1024" s="19">
        <v>1005680</v>
      </c>
    </row>
    <row r="1025" spans="1:7">
      <c r="A1025" s="11" t="s">
        <v>22</v>
      </c>
      <c r="B1025" s="11" t="s">
        <v>23</v>
      </c>
      <c r="C1025" s="11" t="s">
        <v>24</v>
      </c>
      <c r="D1025" s="18">
        <v>45873</v>
      </c>
      <c r="E1025" s="11" t="s">
        <v>1435</v>
      </c>
      <c r="F1025" s="11" t="s">
        <v>502</v>
      </c>
      <c r="G1025" s="19">
        <v>1564020</v>
      </c>
    </row>
    <row r="1026" spans="1:7">
      <c r="A1026" s="11" t="s">
        <v>144</v>
      </c>
      <c r="B1026" s="11" t="s">
        <v>147</v>
      </c>
      <c r="C1026" s="11" t="s">
        <v>25</v>
      </c>
      <c r="D1026" s="18">
        <v>45873</v>
      </c>
      <c r="E1026" s="11" t="s">
        <v>1435</v>
      </c>
      <c r="F1026" s="11" t="s">
        <v>502</v>
      </c>
      <c r="G1026" s="19">
        <v>38040</v>
      </c>
    </row>
    <row r="1027" spans="1:7">
      <c r="A1027" s="11" t="s">
        <v>144</v>
      </c>
      <c r="B1027" s="11" t="s">
        <v>150</v>
      </c>
      <c r="C1027" s="11" t="s">
        <v>151</v>
      </c>
      <c r="D1027" s="18">
        <v>45873</v>
      </c>
      <c r="E1027" s="11" t="s">
        <v>1435</v>
      </c>
      <c r="F1027" s="11" t="s">
        <v>502</v>
      </c>
      <c r="G1027" s="19">
        <v>114120</v>
      </c>
    </row>
    <row r="1028" spans="1:7">
      <c r="A1028" s="11" t="s">
        <v>54</v>
      </c>
      <c r="B1028" s="11" t="s">
        <v>158</v>
      </c>
      <c r="C1028" s="11" t="s">
        <v>151</v>
      </c>
      <c r="D1028" s="18">
        <v>45873</v>
      </c>
      <c r="E1028" s="11" t="s">
        <v>1435</v>
      </c>
      <c r="F1028" s="11" t="s">
        <v>502</v>
      </c>
      <c r="G1028" s="19">
        <v>331200</v>
      </c>
    </row>
    <row r="1029" spans="1:7">
      <c r="A1029" s="11" t="s">
        <v>160</v>
      </c>
      <c r="B1029" s="11" t="s">
        <v>161</v>
      </c>
      <c r="C1029" s="11" t="s">
        <v>25</v>
      </c>
      <c r="D1029" s="18">
        <v>45873</v>
      </c>
      <c r="E1029" s="11" t="s">
        <v>1435</v>
      </c>
      <c r="F1029" s="11" t="s">
        <v>502</v>
      </c>
      <c r="G1029" s="19">
        <v>168720</v>
      </c>
    </row>
    <row r="1030" spans="1:7">
      <c r="A1030" s="11" t="s">
        <v>55</v>
      </c>
      <c r="B1030" s="11" t="s">
        <v>163</v>
      </c>
      <c r="C1030" s="11" t="s">
        <v>151</v>
      </c>
      <c r="D1030" s="18">
        <v>45873</v>
      </c>
      <c r="E1030" s="11" t="s">
        <v>1435</v>
      </c>
      <c r="F1030" s="11" t="s">
        <v>502</v>
      </c>
      <c r="G1030" s="19">
        <v>309110</v>
      </c>
    </row>
    <row r="1031" spans="1:7">
      <c r="A1031" s="11" t="s">
        <v>173</v>
      </c>
      <c r="B1031" s="11" t="s">
        <v>180</v>
      </c>
      <c r="C1031" s="11" t="s">
        <v>151</v>
      </c>
      <c r="D1031" s="18">
        <v>45873</v>
      </c>
      <c r="E1031" s="11" t="s">
        <v>1435</v>
      </c>
      <c r="F1031" s="11" t="s">
        <v>502</v>
      </c>
      <c r="G1031" s="19">
        <v>20280</v>
      </c>
    </row>
    <row r="1032" spans="1:7">
      <c r="A1032" s="11" t="s">
        <v>72</v>
      </c>
      <c r="B1032" s="11" t="s">
        <v>192</v>
      </c>
      <c r="C1032" s="11" t="s">
        <v>120</v>
      </c>
      <c r="D1032" s="18">
        <v>45873</v>
      </c>
      <c r="E1032" s="11" t="s">
        <v>1435</v>
      </c>
      <c r="F1032" s="11" t="s">
        <v>502</v>
      </c>
      <c r="G1032" s="19">
        <v>38040</v>
      </c>
    </row>
    <row r="1033" spans="1:7">
      <c r="A1033" s="11" t="s">
        <v>200</v>
      </c>
      <c r="B1033" s="11" t="s">
        <v>201</v>
      </c>
      <c r="C1033" s="11" t="s">
        <v>151</v>
      </c>
      <c r="D1033" s="18">
        <v>45873</v>
      </c>
      <c r="E1033" s="11" t="s">
        <v>1435</v>
      </c>
      <c r="F1033" s="11" t="s">
        <v>502</v>
      </c>
      <c r="G1033" s="19">
        <v>239440</v>
      </c>
    </row>
    <row r="1034" spans="1:7">
      <c r="A1034" s="11" t="s">
        <v>109</v>
      </c>
      <c r="B1034" s="11" t="s">
        <v>215</v>
      </c>
      <c r="C1034" s="11" t="s">
        <v>120</v>
      </c>
      <c r="D1034" s="18">
        <v>45873</v>
      </c>
      <c r="E1034" s="11" t="s">
        <v>1435</v>
      </c>
      <c r="F1034" s="11" t="s">
        <v>502</v>
      </c>
      <c r="G1034" s="19">
        <v>95870</v>
      </c>
    </row>
    <row r="1035" spans="1:7">
      <c r="A1035" s="11" t="s">
        <v>22</v>
      </c>
      <c r="B1035" s="11" t="s">
        <v>121</v>
      </c>
      <c r="C1035" s="11" t="s">
        <v>122</v>
      </c>
      <c r="D1035" s="18">
        <v>45873</v>
      </c>
      <c r="E1035" s="11" t="s">
        <v>1435</v>
      </c>
      <c r="F1035" s="11" t="s">
        <v>502</v>
      </c>
      <c r="G1035" s="19">
        <v>162430</v>
      </c>
    </row>
    <row r="1036" spans="1:7">
      <c r="A1036" s="11" t="s">
        <v>104</v>
      </c>
      <c r="B1036" s="11" t="s">
        <v>108</v>
      </c>
      <c r="C1036" s="11" t="s">
        <v>15</v>
      </c>
      <c r="D1036" s="18">
        <v>45873</v>
      </c>
      <c r="E1036" s="11" t="s">
        <v>1436</v>
      </c>
      <c r="F1036" s="11" t="s">
        <v>396</v>
      </c>
      <c r="G1036" s="19">
        <v>8000</v>
      </c>
    </row>
    <row r="1037" spans="1:7">
      <c r="A1037" s="11" t="s">
        <v>130</v>
      </c>
      <c r="B1037" s="11" t="s">
        <v>35</v>
      </c>
      <c r="C1037" s="11" t="s">
        <v>34</v>
      </c>
      <c r="D1037" s="18">
        <v>45873</v>
      </c>
      <c r="E1037" s="11" t="s">
        <v>1437</v>
      </c>
      <c r="F1037" s="11" t="s">
        <v>1438</v>
      </c>
      <c r="G1037" s="19">
        <v>2998970</v>
      </c>
    </row>
    <row r="1038" spans="1:7">
      <c r="A1038" s="11" t="s">
        <v>130</v>
      </c>
      <c r="B1038" s="11" t="s">
        <v>133</v>
      </c>
      <c r="C1038" s="11" t="s">
        <v>12</v>
      </c>
      <c r="D1038" s="18">
        <v>45873</v>
      </c>
      <c r="E1038" s="11" t="s">
        <v>1439</v>
      </c>
      <c r="F1038" s="11" t="s">
        <v>1438</v>
      </c>
      <c r="G1038" s="19">
        <v>380000</v>
      </c>
    </row>
    <row r="1039" spans="1:7">
      <c r="A1039" s="11" t="s">
        <v>104</v>
      </c>
      <c r="B1039" s="11" t="s">
        <v>108</v>
      </c>
      <c r="C1039" s="11" t="s">
        <v>15</v>
      </c>
      <c r="D1039" s="18">
        <v>45873</v>
      </c>
      <c r="E1039" s="11" t="s">
        <v>1440</v>
      </c>
      <c r="F1039" s="11" t="s">
        <v>255</v>
      </c>
      <c r="G1039" s="19">
        <v>360</v>
      </c>
    </row>
    <row r="1040" spans="1:7">
      <c r="A1040" s="11" t="s">
        <v>144</v>
      </c>
      <c r="B1040" s="11" t="s">
        <v>146</v>
      </c>
      <c r="C1040" s="11" t="s">
        <v>13</v>
      </c>
      <c r="D1040" s="18">
        <v>45874</v>
      </c>
      <c r="E1040" s="11" t="s">
        <v>1441</v>
      </c>
      <c r="F1040" s="11" t="s">
        <v>295</v>
      </c>
      <c r="G1040" s="19">
        <v>24000</v>
      </c>
    </row>
    <row r="1041" spans="1:7">
      <c r="A1041" s="11" t="s">
        <v>22</v>
      </c>
      <c r="B1041" s="11" t="s">
        <v>119</v>
      </c>
      <c r="C1041" s="11" t="s">
        <v>120</v>
      </c>
      <c r="D1041" s="18">
        <v>45874</v>
      </c>
      <c r="E1041" s="11" t="s">
        <v>1442</v>
      </c>
      <c r="F1041" s="11" t="s">
        <v>1005</v>
      </c>
      <c r="G1041" s="19">
        <v>121400</v>
      </c>
    </row>
    <row r="1042" spans="1:7">
      <c r="A1042" s="11" t="s">
        <v>22</v>
      </c>
      <c r="B1042" s="11" t="s">
        <v>119</v>
      </c>
      <c r="C1042" s="11" t="s">
        <v>120</v>
      </c>
      <c r="D1042" s="18">
        <v>45874</v>
      </c>
      <c r="E1042" s="11" t="s">
        <v>1443</v>
      </c>
      <c r="F1042" s="11" t="s">
        <v>1444</v>
      </c>
      <c r="G1042" s="19">
        <v>182100</v>
      </c>
    </row>
    <row r="1043" spans="1:7">
      <c r="A1043" s="11" t="s">
        <v>22</v>
      </c>
      <c r="B1043" s="11" t="s">
        <v>119</v>
      </c>
      <c r="C1043" s="11" t="s">
        <v>120</v>
      </c>
      <c r="D1043" s="18">
        <v>45874</v>
      </c>
      <c r="E1043" s="11" t="s">
        <v>1445</v>
      </c>
      <c r="F1043" s="11" t="s">
        <v>1446</v>
      </c>
      <c r="G1043" s="19">
        <v>242800</v>
      </c>
    </row>
    <row r="1044" spans="1:7">
      <c r="A1044" s="11" t="s">
        <v>144</v>
      </c>
      <c r="B1044" s="11" t="s">
        <v>152</v>
      </c>
      <c r="C1044" s="11" t="s">
        <v>25</v>
      </c>
      <c r="D1044" s="18">
        <v>45874</v>
      </c>
      <c r="E1044" s="11" t="s">
        <v>1447</v>
      </c>
      <c r="F1044" s="11" t="s">
        <v>1448</v>
      </c>
      <c r="G1044" s="19">
        <v>1440000</v>
      </c>
    </row>
    <row r="1045" spans="1:7">
      <c r="A1045" s="11" t="s">
        <v>144</v>
      </c>
      <c r="B1045" s="11" t="s">
        <v>153</v>
      </c>
      <c r="C1045" s="11" t="s">
        <v>13</v>
      </c>
      <c r="D1045" s="18">
        <v>45874</v>
      </c>
      <c r="E1045" s="11" t="s">
        <v>1449</v>
      </c>
      <c r="F1045" s="11" t="s">
        <v>968</v>
      </c>
      <c r="G1045" s="19">
        <v>103350</v>
      </c>
    </row>
    <row r="1046" spans="1:7">
      <c r="A1046" s="11" t="s">
        <v>43</v>
      </c>
      <c r="B1046" s="11" t="s">
        <v>139</v>
      </c>
      <c r="C1046" s="11" t="s">
        <v>13</v>
      </c>
      <c r="D1046" s="18">
        <v>45874</v>
      </c>
      <c r="E1046" s="11" t="s">
        <v>1450</v>
      </c>
      <c r="F1046" s="11" t="s">
        <v>1451</v>
      </c>
      <c r="G1046" s="19">
        <v>58400</v>
      </c>
    </row>
    <row r="1047" spans="1:7">
      <c r="A1047" s="11" t="s">
        <v>104</v>
      </c>
      <c r="B1047" s="11" t="s">
        <v>214</v>
      </c>
      <c r="C1047" s="11" t="s">
        <v>14</v>
      </c>
      <c r="D1047" s="18">
        <v>45874</v>
      </c>
      <c r="E1047" s="11" t="s">
        <v>1452</v>
      </c>
      <c r="F1047" s="11" t="s">
        <v>832</v>
      </c>
      <c r="G1047" s="19">
        <v>20800</v>
      </c>
    </row>
    <row r="1048" spans="1:7">
      <c r="A1048" s="11" t="s">
        <v>55</v>
      </c>
      <c r="B1048" s="11" t="s">
        <v>165</v>
      </c>
      <c r="C1048" s="11" t="s">
        <v>13</v>
      </c>
      <c r="D1048" s="18">
        <v>45874</v>
      </c>
      <c r="E1048" s="11" t="s">
        <v>1453</v>
      </c>
      <c r="F1048" s="11" t="s">
        <v>586</v>
      </c>
      <c r="G1048" s="19">
        <v>299160</v>
      </c>
    </row>
    <row r="1049" spans="1:7">
      <c r="A1049" s="11" t="s">
        <v>43</v>
      </c>
      <c r="B1049" s="11" t="s">
        <v>139</v>
      </c>
      <c r="C1049" s="11" t="s">
        <v>13</v>
      </c>
      <c r="D1049" s="18">
        <v>45874</v>
      </c>
      <c r="E1049" s="11" t="s">
        <v>1454</v>
      </c>
      <c r="F1049" s="11" t="s">
        <v>586</v>
      </c>
      <c r="G1049" s="19">
        <v>112250</v>
      </c>
    </row>
    <row r="1050" spans="1:7">
      <c r="A1050" s="11" t="s">
        <v>144</v>
      </c>
      <c r="B1050" s="11" t="s">
        <v>146</v>
      </c>
      <c r="C1050" s="11" t="s">
        <v>13</v>
      </c>
      <c r="D1050" s="18">
        <v>45874</v>
      </c>
      <c r="E1050" s="11" t="s">
        <v>1455</v>
      </c>
      <c r="F1050" s="11" t="s">
        <v>486</v>
      </c>
      <c r="G1050" s="19">
        <v>171600</v>
      </c>
    </row>
    <row r="1051" spans="1:7">
      <c r="A1051" s="11" t="s">
        <v>144</v>
      </c>
      <c r="B1051" s="11" t="s">
        <v>49</v>
      </c>
      <c r="C1051" s="11" t="s">
        <v>50</v>
      </c>
      <c r="D1051" s="18">
        <v>45874</v>
      </c>
      <c r="E1051" s="11" t="s">
        <v>1456</v>
      </c>
      <c r="F1051" s="11" t="s">
        <v>486</v>
      </c>
      <c r="G1051" s="19">
        <v>23600</v>
      </c>
    </row>
    <row r="1052" spans="1:7">
      <c r="A1052" s="11" t="s">
        <v>11</v>
      </c>
      <c r="B1052" s="11" t="s">
        <v>115</v>
      </c>
      <c r="C1052" s="11" t="s">
        <v>14</v>
      </c>
      <c r="D1052" s="18">
        <v>45874</v>
      </c>
      <c r="E1052" s="11" t="s">
        <v>1457</v>
      </c>
      <c r="F1052" s="11" t="s">
        <v>600</v>
      </c>
      <c r="G1052" s="19">
        <v>41400</v>
      </c>
    </row>
    <row r="1053" spans="1:7">
      <c r="A1053" s="11" t="s">
        <v>130</v>
      </c>
      <c r="B1053" s="11" t="s">
        <v>36</v>
      </c>
      <c r="C1053" s="11" t="s">
        <v>15</v>
      </c>
      <c r="D1053" s="18">
        <v>45874</v>
      </c>
      <c r="E1053" s="11" t="s">
        <v>1458</v>
      </c>
      <c r="F1053" s="11" t="s">
        <v>1459</v>
      </c>
      <c r="G1053" s="19">
        <v>54600</v>
      </c>
    </row>
    <row r="1054" spans="1:7">
      <c r="A1054" s="11" t="s">
        <v>130</v>
      </c>
      <c r="B1054" s="11" t="s">
        <v>36</v>
      </c>
      <c r="C1054" s="11" t="s">
        <v>15</v>
      </c>
      <c r="D1054" s="18">
        <v>45874</v>
      </c>
      <c r="E1054" s="11" t="s">
        <v>1460</v>
      </c>
      <c r="F1054" s="11" t="s">
        <v>1459</v>
      </c>
      <c r="G1054" s="19">
        <v>99800</v>
      </c>
    </row>
    <row r="1055" spans="1:7">
      <c r="A1055" s="11" t="s">
        <v>11</v>
      </c>
      <c r="B1055" s="11" t="s">
        <v>115</v>
      </c>
      <c r="C1055" s="11" t="s">
        <v>14</v>
      </c>
      <c r="D1055" s="18">
        <v>45874</v>
      </c>
      <c r="E1055" s="11" t="s">
        <v>1461</v>
      </c>
      <c r="F1055" s="11" t="s">
        <v>1462</v>
      </c>
      <c r="G1055" s="19">
        <v>50000</v>
      </c>
    </row>
    <row r="1056" spans="1:7">
      <c r="A1056" s="11" t="s">
        <v>144</v>
      </c>
      <c r="B1056" s="11" t="s">
        <v>49</v>
      </c>
      <c r="C1056" s="11" t="s">
        <v>50</v>
      </c>
      <c r="D1056" s="18">
        <v>45874</v>
      </c>
      <c r="E1056" s="11" t="s">
        <v>1463</v>
      </c>
      <c r="F1056" s="11" t="s">
        <v>295</v>
      </c>
      <c r="G1056" s="19">
        <v>61200</v>
      </c>
    </row>
    <row r="1057" spans="1:7">
      <c r="A1057" s="11" t="s">
        <v>99</v>
      </c>
      <c r="B1057" s="11" t="s">
        <v>99</v>
      </c>
      <c r="C1057" s="11" t="s">
        <v>14</v>
      </c>
      <c r="D1057" s="18">
        <v>45874</v>
      </c>
      <c r="E1057" s="11" t="s">
        <v>1464</v>
      </c>
      <c r="F1057" s="11" t="s">
        <v>486</v>
      </c>
      <c r="G1057" s="19">
        <v>24000</v>
      </c>
    </row>
    <row r="1058" spans="1:7">
      <c r="A1058" s="11" t="s">
        <v>11</v>
      </c>
      <c r="B1058" s="11" t="s">
        <v>115</v>
      </c>
      <c r="C1058" s="11" t="s">
        <v>15</v>
      </c>
      <c r="D1058" s="18">
        <v>45874</v>
      </c>
      <c r="E1058" s="11" t="s">
        <v>1465</v>
      </c>
      <c r="F1058" s="11" t="s">
        <v>484</v>
      </c>
      <c r="G1058" s="19">
        <v>101100</v>
      </c>
    </row>
    <row r="1059" spans="1:7">
      <c r="A1059" s="11" t="s">
        <v>54</v>
      </c>
      <c r="B1059" s="11" t="s">
        <v>53</v>
      </c>
      <c r="C1059" s="11" t="s">
        <v>13</v>
      </c>
      <c r="D1059" s="18">
        <v>45874</v>
      </c>
      <c r="E1059" s="11" t="s">
        <v>1466</v>
      </c>
      <c r="F1059" s="11" t="s">
        <v>555</v>
      </c>
      <c r="G1059" s="19">
        <v>826000</v>
      </c>
    </row>
    <row r="1060" spans="1:7">
      <c r="A1060" s="11" t="s">
        <v>55</v>
      </c>
      <c r="B1060" s="11" t="s">
        <v>165</v>
      </c>
      <c r="C1060" s="11" t="s">
        <v>13</v>
      </c>
      <c r="D1060" s="18">
        <v>45874</v>
      </c>
      <c r="E1060" s="11" t="s">
        <v>1467</v>
      </c>
      <c r="F1060" s="11" t="s">
        <v>1468</v>
      </c>
      <c r="G1060" s="19">
        <v>570000</v>
      </c>
    </row>
    <row r="1061" spans="1:7">
      <c r="A1061" s="11" t="s">
        <v>43</v>
      </c>
      <c r="B1061" s="11" t="s">
        <v>139</v>
      </c>
      <c r="C1061" s="11" t="s">
        <v>15</v>
      </c>
      <c r="D1061" s="18">
        <v>45874</v>
      </c>
      <c r="E1061" s="11" t="s">
        <v>1469</v>
      </c>
      <c r="F1061" s="11" t="s">
        <v>283</v>
      </c>
      <c r="G1061" s="19">
        <v>108120</v>
      </c>
    </row>
    <row r="1062" spans="1:7">
      <c r="A1062" s="11" t="s">
        <v>43</v>
      </c>
      <c r="B1062" s="11" t="s">
        <v>141</v>
      </c>
      <c r="C1062" s="11" t="s">
        <v>13</v>
      </c>
      <c r="D1062" s="18">
        <v>45874</v>
      </c>
      <c r="E1062" s="11" t="s">
        <v>1469</v>
      </c>
      <c r="F1062" s="11" t="s">
        <v>283</v>
      </c>
      <c r="G1062" s="19">
        <v>110460</v>
      </c>
    </row>
    <row r="1063" spans="1:7">
      <c r="A1063" s="11" t="s">
        <v>11</v>
      </c>
      <c r="B1063" s="11" t="s">
        <v>115</v>
      </c>
      <c r="C1063" s="11" t="s">
        <v>14</v>
      </c>
      <c r="D1063" s="18">
        <v>45874</v>
      </c>
      <c r="E1063" s="11" t="s">
        <v>1470</v>
      </c>
      <c r="F1063" s="11" t="s">
        <v>600</v>
      </c>
      <c r="G1063" s="19">
        <v>27000</v>
      </c>
    </row>
    <row r="1064" spans="1:7">
      <c r="A1064" s="11" t="s">
        <v>144</v>
      </c>
      <c r="B1064" s="11" t="s">
        <v>146</v>
      </c>
      <c r="C1064" s="11" t="s">
        <v>13</v>
      </c>
      <c r="D1064" s="18">
        <v>45874</v>
      </c>
      <c r="E1064" s="11" t="s">
        <v>1471</v>
      </c>
      <c r="F1064" s="11" t="s">
        <v>295</v>
      </c>
      <c r="G1064" s="19">
        <v>12000</v>
      </c>
    </row>
    <row r="1065" spans="1:7">
      <c r="A1065" s="11" t="s">
        <v>70</v>
      </c>
      <c r="B1065" s="11" t="s">
        <v>190</v>
      </c>
      <c r="C1065" s="11" t="s">
        <v>14</v>
      </c>
      <c r="D1065" s="18">
        <v>45874</v>
      </c>
      <c r="E1065" s="11" t="s">
        <v>1472</v>
      </c>
      <c r="F1065" s="11" t="s">
        <v>1473</v>
      </c>
      <c r="G1065" s="19">
        <v>390000</v>
      </c>
    </row>
    <row r="1066" spans="1:7">
      <c r="A1066" s="11" t="s">
        <v>144</v>
      </c>
      <c r="B1066" s="11" t="s">
        <v>152</v>
      </c>
      <c r="C1066" s="11" t="s">
        <v>13</v>
      </c>
      <c r="D1066" s="18">
        <v>45874</v>
      </c>
      <c r="E1066" s="11" t="s">
        <v>1474</v>
      </c>
      <c r="F1066" s="11" t="s">
        <v>1475</v>
      </c>
      <c r="G1066" s="19">
        <v>64600</v>
      </c>
    </row>
    <row r="1067" spans="1:7">
      <c r="A1067" s="11" t="s">
        <v>87</v>
      </c>
      <c r="B1067" s="11" t="s">
        <v>88</v>
      </c>
      <c r="C1067" s="11" t="s">
        <v>92</v>
      </c>
      <c r="D1067" s="18">
        <v>45874</v>
      </c>
      <c r="E1067" s="11" t="s">
        <v>1476</v>
      </c>
      <c r="F1067" s="11" t="s">
        <v>821</v>
      </c>
      <c r="G1067" s="19">
        <v>19150</v>
      </c>
    </row>
    <row r="1068" spans="1:7">
      <c r="A1068" s="11" t="s">
        <v>104</v>
      </c>
      <c r="B1068" s="11" t="s">
        <v>108</v>
      </c>
      <c r="C1068" s="11" t="s">
        <v>12</v>
      </c>
      <c r="D1068" s="18">
        <v>45874</v>
      </c>
      <c r="E1068" s="11" t="s">
        <v>1477</v>
      </c>
      <c r="F1068" s="11" t="s">
        <v>1478</v>
      </c>
      <c r="G1068" s="19">
        <v>9000</v>
      </c>
    </row>
    <row r="1069" spans="1:7">
      <c r="A1069" s="11" t="s">
        <v>160</v>
      </c>
      <c r="B1069" s="11" t="s">
        <v>161</v>
      </c>
      <c r="C1069" s="11" t="s">
        <v>14</v>
      </c>
      <c r="D1069" s="18">
        <v>45874</v>
      </c>
      <c r="E1069" s="11" t="s">
        <v>1479</v>
      </c>
      <c r="F1069" s="11" t="s">
        <v>460</v>
      </c>
      <c r="G1069" s="19">
        <v>51000</v>
      </c>
    </row>
    <row r="1070" spans="1:7">
      <c r="A1070" s="11" t="s">
        <v>104</v>
      </c>
      <c r="B1070" s="11" t="s">
        <v>214</v>
      </c>
      <c r="C1070" s="11" t="s">
        <v>14</v>
      </c>
      <c r="D1070" s="18">
        <v>45874</v>
      </c>
      <c r="E1070" s="11" t="s">
        <v>1480</v>
      </c>
      <c r="F1070" s="11" t="s">
        <v>283</v>
      </c>
      <c r="G1070" s="19">
        <v>81660</v>
      </c>
    </row>
    <row r="1071" spans="1:7">
      <c r="A1071" s="11" t="s">
        <v>104</v>
      </c>
      <c r="B1071" s="11" t="s">
        <v>214</v>
      </c>
      <c r="C1071" s="11" t="s">
        <v>15</v>
      </c>
      <c r="D1071" s="18">
        <v>45874</v>
      </c>
      <c r="E1071" s="11" t="s">
        <v>1481</v>
      </c>
      <c r="F1071" s="11" t="s">
        <v>295</v>
      </c>
      <c r="G1071" s="19">
        <v>60550</v>
      </c>
    </row>
    <row r="1072" spans="1:7">
      <c r="A1072" s="11" t="s">
        <v>200</v>
      </c>
      <c r="B1072" s="11" t="s">
        <v>204</v>
      </c>
      <c r="C1072" s="11" t="s">
        <v>13</v>
      </c>
      <c r="D1072" s="18">
        <v>45874</v>
      </c>
      <c r="E1072" s="11" t="s">
        <v>1482</v>
      </c>
      <c r="F1072" s="11" t="s">
        <v>558</v>
      </c>
      <c r="G1072" s="19">
        <v>80100</v>
      </c>
    </row>
    <row r="1073" spans="1:7">
      <c r="A1073" s="11" t="s">
        <v>70</v>
      </c>
      <c r="B1073" s="11" t="s">
        <v>190</v>
      </c>
      <c r="C1073" s="11" t="s">
        <v>14</v>
      </c>
      <c r="D1073" s="18">
        <v>45874</v>
      </c>
      <c r="E1073" s="11" t="s">
        <v>1483</v>
      </c>
      <c r="F1073" s="11" t="s">
        <v>508</v>
      </c>
      <c r="G1073" s="19">
        <v>98500</v>
      </c>
    </row>
    <row r="1074" spans="1:7">
      <c r="A1074" s="11" t="s">
        <v>104</v>
      </c>
      <c r="B1074" s="11" t="s">
        <v>108</v>
      </c>
      <c r="C1074" s="11" t="s">
        <v>12</v>
      </c>
      <c r="D1074" s="18">
        <v>45874</v>
      </c>
      <c r="E1074" s="11" t="s">
        <v>1484</v>
      </c>
      <c r="F1074" s="11" t="s">
        <v>285</v>
      </c>
      <c r="G1074" s="19">
        <v>9000</v>
      </c>
    </row>
    <row r="1075" spans="1:7">
      <c r="A1075" s="11" t="s">
        <v>52</v>
      </c>
      <c r="B1075" s="11" t="s">
        <v>53</v>
      </c>
      <c r="C1075" s="11" t="s">
        <v>13</v>
      </c>
      <c r="D1075" s="18">
        <v>45874</v>
      </c>
      <c r="E1075" s="11" t="s">
        <v>1485</v>
      </c>
      <c r="F1075" s="11" t="s">
        <v>272</v>
      </c>
      <c r="G1075" s="19">
        <v>161000</v>
      </c>
    </row>
    <row r="1076" spans="1:7">
      <c r="A1076" s="11" t="s">
        <v>52</v>
      </c>
      <c r="B1076" s="11" t="s">
        <v>53</v>
      </c>
      <c r="C1076" s="11" t="s">
        <v>13</v>
      </c>
      <c r="D1076" s="18">
        <v>45874</v>
      </c>
      <c r="E1076" s="11" t="s">
        <v>1486</v>
      </c>
      <c r="F1076" s="11" t="s">
        <v>272</v>
      </c>
      <c r="G1076" s="19">
        <v>27000</v>
      </c>
    </row>
    <row r="1077" spans="1:7">
      <c r="A1077" s="11" t="s">
        <v>200</v>
      </c>
      <c r="B1077" s="11" t="s">
        <v>204</v>
      </c>
      <c r="C1077" s="11" t="s">
        <v>13</v>
      </c>
      <c r="D1077" s="18">
        <v>45874</v>
      </c>
      <c r="E1077" s="11" t="s">
        <v>1487</v>
      </c>
      <c r="F1077" s="11" t="s">
        <v>728</v>
      </c>
      <c r="G1077" s="19">
        <v>299160</v>
      </c>
    </row>
    <row r="1078" spans="1:7">
      <c r="A1078" s="11" t="s">
        <v>43</v>
      </c>
      <c r="B1078" s="11" t="s">
        <v>141</v>
      </c>
      <c r="C1078" s="11" t="s">
        <v>13</v>
      </c>
      <c r="D1078" s="18">
        <v>45874</v>
      </c>
      <c r="E1078" s="11" t="s">
        <v>1488</v>
      </c>
      <c r="F1078" s="11" t="s">
        <v>486</v>
      </c>
      <c r="G1078" s="19">
        <v>58000</v>
      </c>
    </row>
    <row r="1079" spans="1:7">
      <c r="A1079" s="11" t="s">
        <v>104</v>
      </c>
      <c r="B1079" s="11" t="s">
        <v>108</v>
      </c>
      <c r="C1079" s="11" t="s">
        <v>14</v>
      </c>
      <c r="D1079" s="18">
        <v>45874</v>
      </c>
      <c r="E1079" s="11" t="s">
        <v>1489</v>
      </c>
      <c r="F1079" s="11" t="s">
        <v>600</v>
      </c>
      <c r="G1079" s="19">
        <v>137300</v>
      </c>
    </row>
    <row r="1080" spans="1:7">
      <c r="A1080" s="11" t="s">
        <v>168</v>
      </c>
      <c r="B1080" s="11" t="s">
        <v>58</v>
      </c>
      <c r="C1080" s="11" t="s">
        <v>13</v>
      </c>
      <c r="D1080" s="18">
        <v>45874</v>
      </c>
      <c r="E1080" s="11" t="s">
        <v>1490</v>
      </c>
      <c r="F1080" s="11" t="s">
        <v>486</v>
      </c>
      <c r="G1080" s="19">
        <v>427200</v>
      </c>
    </row>
    <row r="1081" spans="1:7">
      <c r="A1081" s="11" t="s">
        <v>200</v>
      </c>
      <c r="B1081" s="11" t="s">
        <v>204</v>
      </c>
      <c r="C1081" s="11" t="s">
        <v>13</v>
      </c>
      <c r="D1081" s="18">
        <v>45874</v>
      </c>
      <c r="E1081" s="11" t="s">
        <v>1491</v>
      </c>
      <c r="F1081" s="11" t="s">
        <v>558</v>
      </c>
      <c r="G1081" s="19">
        <v>315850</v>
      </c>
    </row>
    <row r="1082" spans="1:7">
      <c r="A1082" s="11" t="s">
        <v>11</v>
      </c>
      <c r="B1082" s="11" t="s">
        <v>115</v>
      </c>
      <c r="C1082" s="11" t="s">
        <v>14</v>
      </c>
      <c r="D1082" s="18">
        <v>45874</v>
      </c>
      <c r="E1082" s="11" t="s">
        <v>1492</v>
      </c>
      <c r="F1082" s="11" t="s">
        <v>1493</v>
      </c>
      <c r="G1082" s="19">
        <v>100000</v>
      </c>
    </row>
    <row r="1083" spans="1:7">
      <c r="A1083" s="11" t="s">
        <v>144</v>
      </c>
      <c r="B1083" s="11" t="s">
        <v>149</v>
      </c>
      <c r="C1083" s="11" t="s">
        <v>64</v>
      </c>
      <c r="D1083" s="18">
        <v>45874</v>
      </c>
      <c r="E1083" s="11" t="s">
        <v>1494</v>
      </c>
      <c r="F1083" s="11" t="s">
        <v>451</v>
      </c>
      <c r="G1083" s="19">
        <v>102000</v>
      </c>
    </row>
    <row r="1084" spans="1:7">
      <c r="A1084" s="11" t="s">
        <v>70</v>
      </c>
      <c r="B1084" s="11" t="s">
        <v>190</v>
      </c>
      <c r="C1084" s="11" t="s">
        <v>14</v>
      </c>
      <c r="D1084" s="18">
        <v>45874</v>
      </c>
      <c r="E1084" s="11" t="s">
        <v>1495</v>
      </c>
      <c r="F1084" s="11" t="s">
        <v>1496</v>
      </c>
      <c r="G1084" s="19">
        <v>350000</v>
      </c>
    </row>
    <row r="1085" spans="1:7">
      <c r="A1085" s="11" t="s">
        <v>144</v>
      </c>
      <c r="B1085" s="11" t="s">
        <v>146</v>
      </c>
      <c r="C1085" s="11" t="s">
        <v>13</v>
      </c>
      <c r="D1085" s="18">
        <v>45874</v>
      </c>
      <c r="E1085" s="11" t="s">
        <v>1497</v>
      </c>
      <c r="F1085" s="11" t="s">
        <v>295</v>
      </c>
      <c r="G1085" s="19">
        <v>120000</v>
      </c>
    </row>
    <row r="1086" spans="1:7">
      <c r="A1086" s="11" t="s">
        <v>104</v>
      </c>
      <c r="B1086" s="11" t="s">
        <v>108</v>
      </c>
      <c r="C1086" s="11" t="s">
        <v>12</v>
      </c>
      <c r="D1086" s="18">
        <v>45874</v>
      </c>
      <c r="E1086" s="11" t="s">
        <v>1498</v>
      </c>
      <c r="F1086" s="11" t="s">
        <v>285</v>
      </c>
      <c r="G1086" s="19">
        <v>9000</v>
      </c>
    </row>
    <row r="1087" spans="1:7">
      <c r="A1087" s="11" t="s">
        <v>87</v>
      </c>
      <c r="B1087" s="11" t="s">
        <v>95</v>
      </c>
      <c r="C1087" s="11" t="s">
        <v>15</v>
      </c>
      <c r="D1087" s="18">
        <v>45874</v>
      </c>
      <c r="E1087" s="11" t="s">
        <v>1499</v>
      </c>
      <c r="F1087" s="11" t="s">
        <v>283</v>
      </c>
      <c r="G1087" s="19">
        <v>352250</v>
      </c>
    </row>
    <row r="1088" spans="1:7">
      <c r="A1088" s="11" t="s">
        <v>144</v>
      </c>
      <c r="B1088" s="11" t="s">
        <v>152</v>
      </c>
      <c r="C1088" s="11" t="s">
        <v>13</v>
      </c>
      <c r="D1088" s="18">
        <v>45874</v>
      </c>
      <c r="E1088" s="11" t="s">
        <v>1500</v>
      </c>
      <c r="F1088" s="11" t="s">
        <v>555</v>
      </c>
      <c r="G1088" s="19">
        <v>194380</v>
      </c>
    </row>
    <row r="1089" spans="1:7">
      <c r="A1089" s="11" t="s">
        <v>45</v>
      </c>
      <c r="B1089" s="11" t="s">
        <v>142</v>
      </c>
      <c r="C1089" s="11" t="s">
        <v>25</v>
      </c>
      <c r="D1089" s="18">
        <v>45874</v>
      </c>
      <c r="E1089" s="11" t="s">
        <v>1501</v>
      </c>
      <c r="F1089" s="11" t="s">
        <v>1502</v>
      </c>
      <c r="G1089" s="19">
        <v>240000</v>
      </c>
    </row>
    <row r="1090" spans="1:7">
      <c r="A1090" s="11" t="s">
        <v>160</v>
      </c>
      <c r="B1090" s="11" t="s">
        <v>161</v>
      </c>
      <c r="C1090" s="11" t="s">
        <v>25</v>
      </c>
      <c r="D1090" s="18">
        <v>45875</v>
      </c>
      <c r="E1090" s="11" t="s">
        <v>1503</v>
      </c>
      <c r="F1090" s="11" t="s">
        <v>502</v>
      </c>
      <c r="G1090" s="19">
        <v>3420</v>
      </c>
    </row>
    <row r="1091" spans="1:7">
      <c r="A1091" s="11" t="s">
        <v>22</v>
      </c>
      <c r="B1091" s="11" t="s">
        <v>119</v>
      </c>
      <c r="C1091" s="11" t="s">
        <v>120</v>
      </c>
      <c r="D1091" s="18">
        <v>45875</v>
      </c>
      <c r="E1091" s="11" t="s">
        <v>1503</v>
      </c>
      <c r="F1091" s="11" t="s">
        <v>502</v>
      </c>
      <c r="G1091" s="19">
        <v>149200</v>
      </c>
    </row>
    <row r="1092" spans="1:7">
      <c r="A1092" s="11" t="s">
        <v>43</v>
      </c>
      <c r="B1092" s="11" t="s">
        <v>141</v>
      </c>
      <c r="C1092" s="11" t="s">
        <v>13</v>
      </c>
      <c r="D1092" s="18">
        <v>45876</v>
      </c>
      <c r="E1092" s="11" t="s">
        <v>1504</v>
      </c>
      <c r="F1092" s="11" t="s">
        <v>1249</v>
      </c>
      <c r="G1092" s="19">
        <v>168000</v>
      </c>
    </row>
    <row r="1093" spans="1:7">
      <c r="A1093" s="11" t="s">
        <v>104</v>
      </c>
      <c r="B1093" s="11" t="s">
        <v>108</v>
      </c>
      <c r="C1093" s="11" t="s">
        <v>44</v>
      </c>
      <c r="D1093" s="18">
        <v>45877</v>
      </c>
      <c r="E1093" s="11" t="s">
        <v>1505</v>
      </c>
      <c r="F1093" s="11" t="s">
        <v>231</v>
      </c>
      <c r="G1093" s="19">
        <v>-10000</v>
      </c>
    </row>
    <row r="1094" spans="1:7">
      <c r="A1094" s="11" t="s">
        <v>200</v>
      </c>
      <c r="B1094" s="11" t="s">
        <v>82</v>
      </c>
      <c r="C1094" s="11" t="s">
        <v>13</v>
      </c>
      <c r="D1094" s="18">
        <v>45880</v>
      </c>
      <c r="E1094" s="11" t="s">
        <v>1506</v>
      </c>
      <c r="F1094" s="11" t="s">
        <v>1249</v>
      </c>
      <c r="G1094" s="19">
        <v>540000</v>
      </c>
    </row>
    <row r="1095" spans="1:7">
      <c r="A1095" s="11" t="s">
        <v>87</v>
      </c>
      <c r="B1095" s="11" t="s">
        <v>95</v>
      </c>
      <c r="C1095" s="11" t="s">
        <v>15</v>
      </c>
      <c r="D1095" s="18">
        <v>45880</v>
      </c>
      <c r="E1095" s="11" t="s">
        <v>1507</v>
      </c>
      <c r="F1095" s="11" t="s">
        <v>779</v>
      </c>
      <c r="G1095" s="19">
        <v>550000</v>
      </c>
    </row>
    <row r="1096" spans="1:7">
      <c r="A1096" s="11" t="s">
        <v>43</v>
      </c>
      <c r="B1096" s="11" t="s">
        <v>139</v>
      </c>
      <c r="C1096" s="11" t="s">
        <v>15</v>
      </c>
      <c r="D1096" s="18">
        <v>45880</v>
      </c>
      <c r="E1096" s="11" t="s">
        <v>1508</v>
      </c>
      <c r="F1096" s="11" t="s">
        <v>243</v>
      </c>
      <c r="G1096" s="19">
        <v>24750</v>
      </c>
    </row>
    <row r="1097" spans="1:7">
      <c r="A1097" s="11" t="s">
        <v>87</v>
      </c>
      <c r="B1097" s="11" t="s">
        <v>95</v>
      </c>
      <c r="C1097" s="11" t="s">
        <v>15</v>
      </c>
      <c r="D1097" s="18">
        <v>45880</v>
      </c>
      <c r="E1097" s="11" t="s">
        <v>1509</v>
      </c>
      <c r="F1097" s="11" t="s">
        <v>1510</v>
      </c>
      <c r="G1097" s="19">
        <v>5630000</v>
      </c>
    </row>
    <row r="1098" spans="1:7">
      <c r="A1098" s="11" t="s">
        <v>43</v>
      </c>
      <c r="B1098" s="11" t="s">
        <v>141</v>
      </c>
      <c r="C1098" s="11" t="s">
        <v>25</v>
      </c>
      <c r="D1098" s="18">
        <v>45881</v>
      </c>
      <c r="E1098" s="11" t="s">
        <v>1511</v>
      </c>
      <c r="F1098" s="11" t="s">
        <v>1512</v>
      </c>
      <c r="G1098" s="19">
        <v>344000</v>
      </c>
    </row>
    <row r="1099" spans="1:7">
      <c r="A1099" s="11" t="s">
        <v>200</v>
      </c>
      <c r="B1099" s="11" t="s">
        <v>204</v>
      </c>
      <c r="C1099" s="11" t="s">
        <v>13</v>
      </c>
      <c r="D1099" s="18">
        <v>45881</v>
      </c>
      <c r="E1099" s="11" t="s">
        <v>1513</v>
      </c>
      <c r="F1099" s="11" t="s">
        <v>1514</v>
      </c>
      <c r="G1099" s="19">
        <v>800000</v>
      </c>
    </row>
    <row r="1100" spans="1:7">
      <c r="A1100" s="11" t="s">
        <v>104</v>
      </c>
      <c r="B1100" s="11" t="s">
        <v>108</v>
      </c>
      <c r="C1100" s="11" t="s">
        <v>15</v>
      </c>
      <c r="D1100" s="18">
        <v>45882</v>
      </c>
      <c r="E1100" s="11" t="s">
        <v>1515</v>
      </c>
      <c r="F1100" s="11" t="s">
        <v>255</v>
      </c>
      <c r="G1100" s="19">
        <v>540</v>
      </c>
    </row>
    <row r="1101" spans="1:7">
      <c r="A1101" s="11" t="s">
        <v>54</v>
      </c>
      <c r="B1101" s="11" t="s">
        <v>158</v>
      </c>
      <c r="C1101" s="11" t="s">
        <v>120</v>
      </c>
      <c r="D1101" s="18">
        <v>45883</v>
      </c>
      <c r="E1101" s="11" t="s">
        <v>1516</v>
      </c>
      <c r="F1101" s="11" t="s">
        <v>249</v>
      </c>
      <c r="G1101" s="19">
        <v>2916000</v>
      </c>
    </row>
    <row r="1102" spans="1:7">
      <c r="A1102" s="11" t="s">
        <v>54</v>
      </c>
      <c r="B1102" s="11" t="s">
        <v>159</v>
      </c>
      <c r="C1102" s="11" t="s">
        <v>120</v>
      </c>
      <c r="D1102" s="18">
        <v>45883</v>
      </c>
      <c r="E1102" s="11" t="s">
        <v>1516</v>
      </c>
      <c r="F1102" s="11" t="s">
        <v>249</v>
      </c>
      <c r="G1102" s="19">
        <v>80000</v>
      </c>
    </row>
    <row r="1103" spans="1:7">
      <c r="A1103" s="11" t="s">
        <v>130</v>
      </c>
      <c r="B1103" s="11" t="s">
        <v>132</v>
      </c>
      <c r="C1103" s="11" t="s">
        <v>15</v>
      </c>
      <c r="D1103" s="18">
        <v>45887</v>
      </c>
      <c r="E1103" s="11" t="s">
        <v>1517</v>
      </c>
      <c r="F1103" s="11" t="s">
        <v>317</v>
      </c>
      <c r="G1103" s="19">
        <v>450000</v>
      </c>
    </row>
    <row r="1104" spans="1:7">
      <c r="A1104" s="11" t="s">
        <v>104</v>
      </c>
      <c r="B1104" s="11" t="s">
        <v>108</v>
      </c>
      <c r="C1104" s="11" t="s">
        <v>15</v>
      </c>
      <c r="D1104" s="18">
        <v>45887</v>
      </c>
      <c r="E1104" s="11" t="s">
        <v>1518</v>
      </c>
      <c r="F1104" s="11" t="s">
        <v>255</v>
      </c>
      <c r="G1104" s="19">
        <v>33000</v>
      </c>
    </row>
    <row r="1105" spans="1:7">
      <c r="A1105" s="11" t="s">
        <v>62</v>
      </c>
      <c r="B1105" s="11" t="s">
        <v>171</v>
      </c>
      <c r="C1105" s="11" t="s">
        <v>25</v>
      </c>
      <c r="D1105" s="18">
        <v>45887</v>
      </c>
      <c r="E1105" s="11" t="s">
        <v>1519</v>
      </c>
      <c r="F1105" s="11" t="s">
        <v>538</v>
      </c>
      <c r="G1105" s="19">
        <v>27630750</v>
      </c>
    </row>
    <row r="1106" spans="1:7">
      <c r="A1106" s="11" t="s">
        <v>62</v>
      </c>
      <c r="B1106" s="11" t="s">
        <v>172</v>
      </c>
      <c r="C1106" s="11" t="s">
        <v>25</v>
      </c>
      <c r="D1106" s="18">
        <v>45887</v>
      </c>
      <c r="E1106" s="11" t="s">
        <v>1519</v>
      </c>
      <c r="F1106" s="11" t="s">
        <v>538</v>
      </c>
      <c r="G1106" s="19">
        <v>2575340</v>
      </c>
    </row>
    <row r="1107" spans="1:7">
      <c r="A1107" s="11" t="s">
        <v>173</v>
      </c>
      <c r="B1107" s="11" t="s">
        <v>182</v>
      </c>
      <c r="C1107" s="11" t="s">
        <v>25</v>
      </c>
      <c r="D1107" s="18">
        <v>45887</v>
      </c>
      <c r="E1107" s="11" t="s">
        <v>1519</v>
      </c>
      <c r="F1107" s="11" t="s">
        <v>538</v>
      </c>
      <c r="G1107" s="19">
        <v>2738370</v>
      </c>
    </row>
    <row r="1108" spans="1:7">
      <c r="A1108" s="11" t="s">
        <v>104</v>
      </c>
      <c r="B1108" s="11" t="s">
        <v>108</v>
      </c>
      <c r="C1108" s="11" t="s">
        <v>15</v>
      </c>
      <c r="D1108" s="18">
        <v>45887</v>
      </c>
      <c r="E1108" s="11" t="s">
        <v>1520</v>
      </c>
      <c r="F1108" s="11" t="s">
        <v>255</v>
      </c>
      <c r="G1108" s="19">
        <v>120</v>
      </c>
    </row>
    <row r="1109" spans="1:7">
      <c r="A1109" s="11" t="s">
        <v>173</v>
      </c>
      <c r="B1109" s="11" t="s">
        <v>180</v>
      </c>
      <c r="C1109" s="11" t="s">
        <v>25</v>
      </c>
      <c r="D1109" s="18">
        <v>45888</v>
      </c>
      <c r="E1109" s="11" t="s">
        <v>1521</v>
      </c>
      <c r="F1109" s="11" t="s">
        <v>1522</v>
      </c>
      <c r="G1109" s="19">
        <v>240000</v>
      </c>
    </row>
    <row r="1110" spans="1:7">
      <c r="A1110" s="11" t="s">
        <v>22</v>
      </c>
      <c r="B1110" s="11" t="s">
        <v>119</v>
      </c>
      <c r="C1110" s="11" t="s">
        <v>120</v>
      </c>
      <c r="D1110" s="18">
        <v>45888</v>
      </c>
      <c r="E1110" s="11" t="s">
        <v>1523</v>
      </c>
      <c r="F1110" s="11" t="s">
        <v>1005</v>
      </c>
      <c r="G1110" s="19">
        <v>182100</v>
      </c>
    </row>
    <row r="1111" spans="1:7">
      <c r="A1111" s="11" t="s">
        <v>22</v>
      </c>
      <c r="B1111" s="11" t="s">
        <v>119</v>
      </c>
      <c r="C1111" s="11" t="s">
        <v>120</v>
      </c>
      <c r="D1111" s="18">
        <v>45888</v>
      </c>
      <c r="E1111" s="11" t="s">
        <v>1524</v>
      </c>
      <c r="F1111" s="11" t="s">
        <v>1049</v>
      </c>
      <c r="G1111" s="19">
        <v>195780</v>
      </c>
    </row>
    <row r="1112" spans="1:7">
      <c r="A1112" s="11" t="s">
        <v>173</v>
      </c>
      <c r="B1112" s="11" t="s">
        <v>174</v>
      </c>
      <c r="C1112" s="11" t="s">
        <v>13</v>
      </c>
      <c r="D1112" s="18">
        <v>45889</v>
      </c>
      <c r="E1112" s="11" t="s">
        <v>1525</v>
      </c>
      <c r="F1112" s="11" t="s">
        <v>1526</v>
      </c>
      <c r="G1112" s="19">
        <v>2612000</v>
      </c>
    </row>
    <row r="1113" spans="1:7">
      <c r="A1113" s="11" t="s">
        <v>104</v>
      </c>
      <c r="B1113" s="11" t="s">
        <v>108</v>
      </c>
      <c r="C1113" s="11" t="s">
        <v>14</v>
      </c>
      <c r="D1113" s="18">
        <v>45889</v>
      </c>
      <c r="E1113" s="11" t="s">
        <v>1527</v>
      </c>
      <c r="F1113" s="11" t="s">
        <v>758</v>
      </c>
      <c r="G1113" s="19">
        <v>95256</v>
      </c>
    </row>
    <row r="1114" spans="1:7">
      <c r="A1114" s="11" t="s">
        <v>43</v>
      </c>
      <c r="B1114" s="11" t="s">
        <v>141</v>
      </c>
      <c r="C1114" s="11" t="s">
        <v>13</v>
      </c>
      <c r="D1114" s="18">
        <v>45889</v>
      </c>
      <c r="E1114" s="11" t="s">
        <v>1528</v>
      </c>
      <c r="F1114" s="11" t="s">
        <v>1529</v>
      </c>
      <c r="G1114" s="19">
        <v>181700</v>
      </c>
    </row>
    <row r="1115" spans="1:7">
      <c r="A1115" s="11" t="s">
        <v>173</v>
      </c>
      <c r="B1115" s="11" t="s">
        <v>180</v>
      </c>
      <c r="C1115" s="11" t="s">
        <v>13</v>
      </c>
      <c r="D1115" s="18">
        <v>45889</v>
      </c>
      <c r="E1115" s="11" t="s">
        <v>1530</v>
      </c>
      <c r="F1115" s="11" t="s">
        <v>283</v>
      </c>
      <c r="G1115" s="19">
        <v>100700</v>
      </c>
    </row>
    <row r="1116" spans="1:7">
      <c r="A1116" s="11" t="s">
        <v>104</v>
      </c>
      <c r="B1116" s="11" t="s">
        <v>108</v>
      </c>
      <c r="C1116" s="11" t="s">
        <v>15</v>
      </c>
      <c r="D1116" s="18">
        <v>45889</v>
      </c>
      <c r="E1116" s="11" t="s">
        <v>1531</v>
      </c>
      <c r="F1116" s="11" t="s">
        <v>313</v>
      </c>
      <c r="G1116" s="19">
        <v>31000</v>
      </c>
    </row>
    <row r="1117" spans="1:7">
      <c r="A1117" s="11" t="s">
        <v>104</v>
      </c>
      <c r="B1117" s="11" t="s">
        <v>214</v>
      </c>
      <c r="C1117" s="11" t="s">
        <v>12</v>
      </c>
      <c r="D1117" s="18">
        <v>45889</v>
      </c>
      <c r="E1117" s="11" t="s">
        <v>1532</v>
      </c>
      <c r="F1117" s="11" t="s">
        <v>285</v>
      </c>
      <c r="G1117" s="19">
        <v>9000</v>
      </c>
    </row>
    <row r="1118" spans="1:7">
      <c r="A1118" s="11" t="s">
        <v>173</v>
      </c>
      <c r="B1118" s="11" t="s">
        <v>174</v>
      </c>
      <c r="C1118" s="11" t="s">
        <v>13</v>
      </c>
      <c r="D1118" s="18">
        <v>45889</v>
      </c>
      <c r="E1118" s="11" t="s">
        <v>1533</v>
      </c>
      <c r="F1118" s="11" t="s">
        <v>1534</v>
      </c>
      <c r="G1118" s="19">
        <v>306600</v>
      </c>
    </row>
    <row r="1119" spans="1:7">
      <c r="A1119" s="11" t="s">
        <v>173</v>
      </c>
      <c r="B1119" s="11" t="s">
        <v>174</v>
      </c>
      <c r="C1119" s="11" t="s">
        <v>15</v>
      </c>
      <c r="D1119" s="18">
        <v>45889</v>
      </c>
      <c r="E1119" s="11" t="s">
        <v>1533</v>
      </c>
      <c r="F1119" s="11" t="s">
        <v>1535</v>
      </c>
      <c r="G1119" s="19">
        <v>186000</v>
      </c>
    </row>
    <row r="1120" spans="1:7">
      <c r="A1120" s="11" t="s">
        <v>87</v>
      </c>
      <c r="B1120" s="11" t="s">
        <v>95</v>
      </c>
      <c r="C1120" s="11" t="s">
        <v>15</v>
      </c>
      <c r="D1120" s="18">
        <v>45889</v>
      </c>
      <c r="E1120" s="11" t="s">
        <v>1536</v>
      </c>
      <c r="F1120" s="11" t="s">
        <v>1537</v>
      </c>
      <c r="G1120" s="19">
        <v>80850</v>
      </c>
    </row>
    <row r="1121" spans="1:7">
      <c r="A1121" s="11" t="s">
        <v>87</v>
      </c>
      <c r="B1121" s="11" t="s">
        <v>95</v>
      </c>
      <c r="C1121" s="11" t="s">
        <v>15</v>
      </c>
      <c r="D1121" s="18">
        <v>45889</v>
      </c>
      <c r="E1121" s="11" t="s">
        <v>1538</v>
      </c>
      <c r="F1121" s="11" t="s">
        <v>283</v>
      </c>
      <c r="G1121" s="19">
        <v>415000</v>
      </c>
    </row>
    <row r="1122" spans="1:7">
      <c r="A1122" s="11" t="s">
        <v>87</v>
      </c>
      <c r="B1122" s="11" t="s">
        <v>88</v>
      </c>
      <c r="C1122" s="11" t="s">
        <v>92</v>
      </c>
      <c r="D1122" s="18">
        <v>45889</v>
      </c>
      <c r="E1122" s="11" t="s">
        <v>1539</v>
      </c>
      <c r="F1122" s="11" t="s">
        <v>821</v>
      </c>
      <c r="G1122" s="19">
        <v>3830</v>
      </c>
    </row>
    <row r="1123" spans="1:7">
      <c r="A1123" s="11" t="s">
        <v>144</v>
      </c>
      <c r="B1123" s="11" t="s">
        <v>149</v>
      </c>
      <c r="C1123" s="11" t="s">
        <v>64</v>
      </c>
      <c r="D1123" s="18">
        <v>45889</v>
      </c>
      <c r="E1123" s="11" t="s">
        <v>1540</v>
      </c>
      <c r="F1123" s="11" t="s">
        <v>733</v>
      </c>
      <c r="G1123" s="19">
        <v>30000</v>
      </c>
    </row>
    <row r="1124" spans="1:7">
      <c r="A1124" s="11" t="s">
        <v>173</v>
      </c>
      <c r="B1124" s="11" t="s">
        <v>180</v>
      </c>
      <c r="C1124" s="11" t="s">
        <v>13</v>
      </c>
      <c r="D1124" s="18">
        <v>45889</v>
      </c>
      <c r="E1124" s="11" t="s">
        <v>1541</v>
      </c>
      <c r="F1124" s="11" t="s">
        <v>283</v>
      </c>
      <c r="G1124" s="19">
        <v>212800</v>
      </c>
    </row>
    <row r="1125" spans="1:7">
      <c r="A1125" s="11" t="s">
        <v>75</v>
      </c>
      <c r="B1125" s="11" t="s">
        <v>76</v>
      </c>
      <c r="C1125" s="11" t="s">
        <v>31</v>
      </c>
      <c r="D1125" s="18">
        <v>45889</v>
      </c>
      <c r="E1125" s="11" t="s">
        <v>1542</v>
      </c>
      <c r="F1125" s="11" t="s">
        <v>1543</v>
      </c>
      <c r="G1125" s="19">
        <v>344000</v>
      </c>
    </row>
    <row r="1126" spans="1:7">
      <c r="A1126" s="11" t="s">
        <v>65</v>
      </c>
      <c r="B1126" s="11" t="s">
        <v>67</v>
      </c>
      <c r="C1126" s="11" t="s">
        <v>66</v>
      </c>
      <c r="D1126" s="18">
        <v>45889</v>
      </c>
      <c r="E1126" s="11" t="s">
        <v>1544</v>
      </c>
      <c r="F1126" s="11" t="s">
        <v>587</v>
      </c>
      <c r="G1126" s="19">
        <v>11100</v>
      </c>
    </row>
    <row r="1127" spans="1:7">
      <c r="A1127" s="11" t="s">
        <v>104</v>
      </c>
      <c r="B1127" s="11" t="s">
        <v>108</v>
      </c>
      <c r="C1127" s="11" t="s">
        <v>15</v>
      </c>
      <c r="D1127" s="18">
        <v>45889</v>
      </c>
      <c r="E1127" s="11" t="s">
        <v>1545</v>
      </c>
      <c r="F1127" s="11" t="s">
        <v>255</v>
      </c>
      <c r="G1127" s="19">
        <v>60</v>
      </c>
    </row>
    <row r="1128" spans="1:7">
      <c r="A1128" s="11" t="s">
        <v>38</v>
      </c>
      <c r="B1128" s="11" t="s">
        <v>40</v>
      </c>
      <c r="C1128" s="11" t="s">
        <v>15</v>
      </c>
      <c r="D1128" s="18">
        <v>45889</v>
      </c>
      <c r="E1128" s="11" t="s">
        <v>1546</v>
      </c>
      <c r="F1128" s="11" t="s">
        <v>510</v>
      </c>
      <c r="G1128" s="19">
        <v>250000</v>
      </c>
    </row>
    <row r="1129" spans="1:7">
      <c r="A1129" s="11" t="s">
        <v>87</v>
      </c>
      <c r="B1129" s="11" t="s">
        <v>94</v>
      </c>
      <c r="C1129" s="11" t="s">
        <v>15</v>
      </c>
      <c r="D1129" s="18">
        <v>45889</v>
      </c>
      <c r="E1129" s="11" t="s">
        <v>1547</v>
      </c>
      <c r="F1129" s="11" t="s">
        <v>257</v>
      </c>
      <c r="G1129" s="19">
        <v>407000</v>
      </c>
    </row>
    <row r="1130" spans="1:7">
      <c r="A1130" s="11" t="s">
        <v>75</v>
      </c>
      <c r="B1130" s="11" t="s">
        <v>195</v>
      </c>
      <c r="C1130" s="11" t="s">
        <v>15</v>
      </c>
      <c r="D1130" s="18">
        <v>45889</v>
      </c>
      <c r="E1130" s="11" t="s">
        <v>1548</v>
      </c>
      <c r="F1130" s="11" t="s">
        <v>225</v>
      </c>
      <c r="G1130" s="19">
        <v>297000</v>
      </c>
    </row>
    <row r="1131" spans="1:7">
      <c r="A1131" s="11" t="s">
        <v>173</v>
      </c>
      <c r="B1131" s="11" t="s">
        <v>179</v>
      </c>
      <c r="C1131" s="11" t="s">
        <v>15</v>
      </c>
      <c r="D1131" s="18">
        <v>45889</v>
      </c>
      <c r="E1131" s="11" t="s">
        <v>1549</v>
      </c>
      <c r="F1131" s="11" t="s">
        <v>1418</v>
      </c>
      <c r="G1131" s="19">
        <v>330000</v>
      </c>
    </row>
    <row r="1132" spans="1:7">
      <c r="A1132" s="11" t="s">
        <v>11</v>
      </c>
      <c r="B1132" s="11" t="s">
        <v>112</v>
      </c>
      <c r="C1132" s="11" t="s">
        <v>15</v>
      </c>
      <c r="D1132" s="18">
        <v>45889</v>
      </c>
      <c r="E1132" s="11" t="s">
        <v>1550</v>
      </c>
      <c r="F1132" s="11" t="s">
        <v>1551</v>
      </c>
      <c r="G1132" s="19">
        <v>80000</v>
      </c>
    </row>
    <row r="1133" spans="1:7">
      <c r="A1133" s="11" t="s">
        <v>173</v>
      </c>
      <c r="B1133" s="11" t="s">
        <v>174</v>
      </c>
      <c r="C1133" s="11" t="s">
        <v>25</v>
      </c>
      <c r="D1133" s="18">
        <v>45889</v>
      </c>
      <c r="E1133" s="11" t="s">
        <v>1552</v>
      </c>
      <c r="F1133" s="11" t="s">
        <v>1553</v>
      </c>
      <c r="G1133" s="19">
        <v>1440000</v>
      </c>
    </row>
    <row r="1134" spans="1:7">
      <c r="A1134" s="11" t="s">
        <v>38</v>
      </c>
      <c r="B1134" s="11" t="s">
        <v>137</v>
      </c>
      <c r="C1134" s="11" t="s">
        <v>15</v>
      </c>
      <c r="D1134" s="18">
        <v>45890</v>
      </c>
      <c r="E1134" s="11" t="s">
        <v>1554</v>
      </c>
      <c r="F1134" s="11" t="s">
        <v>326</v>
      </c>
      <c r="G1134" s="19">
        <v>376800</v>
      </c>
    </row>
    <row r="1135" spans="1:7">
      <c r="A1135" s="11" t="s">
        <v>87</v>
      </c>
      <c r="B1135" s="11" t="s">
        <v>95</v>
      </c>
      <c r="C1135" s="11" t="s">
        <v>15</v>
      </c>
      <c r="D1135" s="18">
        <v>45890</v>
      </c>
      <c r="E1135" s="11" t="s">
        <v>1555</v>
      </c>
      <c r="F1135" s="11" t="s">
        <v>245</v>
      </c>
      <c r="G1135" s="19">
        <v>1210000</v>
      </c>
    </row>
    <row r="1136" spans="1:7">
      <c r="A1136" s="11" t="s">
        <v>173</v>
      </c>
      <c r="B1136" s="11" t="s">
        <v>180</v>
      </c>
      <c r="C1136" s="11" t="s">
        <v>13</v>
      </c>
      <c r="D1136" s="18">
        <v>45890</v>
      </c>
      <c r="E1136" s="11" t="s">
        <v>1556</v>
      </c>
      <c r="F1136" s="11" t="s">
        <v>1266</v>
      </c>
      <c r="G1136" s="19">
        <v>1650000</v>
      </c>
    </row>
    <row r="1137" spans="1:7">
      <c r="A1137" s="11" t="s">
        <v>87</v>
      </c>
      <c r="B1137" s="11" t="s">
        <v>95</v>
      </c>
      <c r="C1137" s="11" t="s">
        <v>15</v>
      </c>
      <c r="D1137" s="18">
        <v>45890</v>
      </c>
      <c r="E1137" s="11" t="s">
        <v>1557</v>
      </c>
      <c r="F1137" s="11" t="s">
        <v>1558</v>
      </c>
      <c r="G1137" s="19">
        <v>550000</v>
      </c>
    </row>
    <row r="1138" spans="1:7">
      <c r="A1138" s="11" t="s">
        <v>87</v>
      </c>
      <c r="B1138" s="11" t="s">
        <v>95</v>
      </c>
      <c r="C1138" s="11" t="s">
        <v>15</v>
      </c>
      <c r="D1138" s="18">
        <v>45890</v>
      </c>
      <c r="E1138" s="11" t="s">
        <v>1559</v>
      </c>
      <c r="F1138" s="11" t="s">
        <v>321</v>
      </c>
      <c r="G1138" s="19">
        <v>54340</v>
      </c>
    </row>
    <row r="1139" spans="1:7">
      <c r="A1139" s="11" t="s">
        <v>87</v>
      </c>
      <c r="B1139" s="11" t="s">
        <v>95</v>
      </c>
      <c r="C1139" s="11" t="s">
        <v>15</v>
      </c>
      <c r="D1139" s="18">
        <v>45890</v>
      </c>
      <c r="E1139" s="11" t="s">
        <v>1560</v>
      </c>
      <c r="F1139" s="11" t="s">
        <v>779</v>
      </c>
      <c r="G1139" s="19">
        <v>2354000</v>
      </c>
    </row>
    <row r="1140" spans="1:7">
      <c r="A1140" s="11" t="s">
        <v>87</v>
      </c>
      <c r="B1140" s="11" t="s">
        <v>88</v>
      </c>
      <c r="C1140" s="11" t="s">
        <v>92</v>
      </c>
      <c r="D1140" s="18">
        <v>45890</v>
      </c>
      <c r="E1140" s="11" t="s">
        <v>1561</v>
      </c>
      <c r="F1140" s="11" t="s">
        <v>224</v>
      </c>
      <c r="G1140" s="19">
        <v>11410</v>
      </c>
    </row>
    <row r="1141" spans="1:7">
      <c r="A1141" s="11" t="s">
        <v>173</v>
      </c>
      <c r="B1141" s="11" t="s">
        <v>63</v>
      </c>
      <c r="C1141" s="11" t="s">
        <v>13</v>
      </c>
      <c r="D1141" s="18">
        <v>45891</v>
      </c>
      <c r="E1141" s="11" t="s">
        <v>1562</v>
      </c>
      <c r="F1141" s="11" t="s">
        <v>1563</v>
      </c>
      <c r="G1141" s="19">
        <v>8554000</v>
      </c>
    </row>
    <row r="1142" spans="1:7">
      <c r="A1142" s="11" t="s">
        <v>173</v>
      </c>
      <c r="B1142" s="11" t="s">
        <v>174</v>
      </c>
      <c r="C1142" s="11" t="s">
        <v>13</v>
      </c>
      <c r="D1142" s="18">
        <v>45891</v>
      </c>
      <c r="E1142" s="11" t="s">
        <v>1562</v>
      </c>
      <c r="F1142" s="11" t="s">
        <v>1563</v>
      </c>
      <c r="G1142" s="19">
        <v>117000</v>
      </c>
    </row>
    <row r="1143" spans="1:7">
      <c r="A1143" s="11" t="s">
        <v>173</v>
      </c>
      <c r="B1143" s="11" t="s">
        <v>185</v>
      </c>
      <c r="C1143" s="11" t="s">
        <v>13</v>
      </c>
      <c r="D1143" s="18">
        <v>45891</v>
      </c>
      <c r="E1143" s="11" t="s">
        <v>1562</v>
      </c>
      <c r="F1143" s="11" t="s">
        <v>1563</v>
      </c>
      <c r="G1143" s="19">
        <v>728000</v>
      </c>
    </row>
    <row r="1144" spans="1:7">
      <c r="A1144" s="11" t="s">
        <v>200</v>
      </c>
      <c r="B1144" s="11" t="s">
        <v>201</v>
      </c>
      <c r="C1144" s="11" t="s">
        <v>120</v>
      </c>
      <c r="D1144" s="18">
        <v>45891</v>
      </c>
      <c r="E1144" s="11" t="s">
        <v>1564</v>
      </c>
      <c r="F1144" s="11" t="s">
        <v>1565</v>
      </c>
      <c r="G1144" s="19">
        <v>689920</v>
      </c>
    </row>
    <row r="1145" spans="1:7">
      <c r="A1145" s="11" t="s">
        <v>87</v>
      </c>
      <c r="B1145" s="11" t="s">
        <v>88</v>
      </c>
      <c r="C1145" s="11" t="s">
        <v>92</v>
      </c>
      <c r="D1145" s="18">
        <v>45894</v>
      </c>
      <c r="E1145" s="11" t="s">
        <v>1566</v>
      </c>
      <c r="F1145" s="11" t="s">
        <v>323</v>
      </c>
      <c r="G1145" s="19">
        <v>13200</v>
      </c>
    </row>
    <row r="1146" spans="1:7">
      <c r="A1146" s="11" t="s">
        <v>28</v>
      </c>
      <c r="B1146" s="11" t="s">
        <v>29</v>
      </c>
      <c r="C1146" s="11" t="s">
        <v>30</v>
      </c>
      <c r="D1146" s="18">
        <v>45894</v>
      </c>
      <c r="E1146" s="11" t="s">
        <v>1567</v>
      </c>
      <c r="F1146" s="11" t="s">
        <v>321</v>
      </c>
      <c r="G1146" s="19">
        <v>1221090</v>
      </c>
    </row>
    <row r="1147" spans="1:7">
      <c r="A1147" s="11" t="s">
        <v>87</v>
      </c>
      <c r="B1147" s="11" t="s">
        <v>30</v>
      </c>
      <c r="C1147" s="11" t="s">
        <v>30</v>
      </c>
      <c r="D1147" s="18">
        <v>45894</v>
      </c>
      <c r="E1147" s="11" t="s">
        <v>1568</v>
      </c>
      <c r="F1147" s="11" t="s">
        <v>321</v>
      </c>
      <c r="G1147" s="19">
        <v>4960340</v>
      </c>
    </row>
    <row r="1148" spans="1:7">
      <c r="A1148" s="11" t="s">
        <v>87</v>
      </c>
      <c r="B1148" s="11" t="s">
        <v>210</v>
      </c>
      <c r="C1148" s="11" t="s">
        <v>15</v>
      </c>
      <c r="D1148" s="18">
        <v>45894</v>
      </c>
      <c r="E1148" s="11" t="s">
        <v>1569</v>
      </c>
      <c r="F1148" s="11" t="s">
        <v>384</v>
      </c>
      <c r="G1148" s="19">
        <v>6310760</v>
      </c>
    </row>
    <row r="1149" spans="1:7">
      <c r="A1149" s="11" t="s">
        <v>130</v>
      </c>
      <c r="B1149" s="11" t="s">
        <v>132</v>
      </c>
      <c r="C1149" s="11" t="s">
        <v>15</v>
      </c>
      <c r="D1149" s="18">
        <v>45894</v>
      </c>
      <c r="E1149" s="11" t="s">
        <v>1570</v>
      </c>
      <c r="F1149" s="11" t="s">
        <v>317</v>
      </c>
      <c r="G1149" s="19">
        <v>450000</v>
      </c>
    </row>
    <row r="1150" spans="1:7">
      <c r="A1150" s="11" t="s">
        <v>87</v>
      </c>
      <c r="B1150" s="11" t="s">
        <v>97</v>
      </c>
      <c r="C1150" s="11" t="s">
        <v>15</v>
      </c>
      <c r="D1150" s="18">
        <v>45894</v>
      </c>
      <c r="E1150" s="11" t="s">
        <v>1571</v>
      </c>
      <c r="F1150" s="11" t="s">
        <v>350</v>
      </c>
      <c r="G1150" s="19">
        <v>4551520</v>
      </c>
    </row>
    <row r="1151" spans="1:7">
      <c r="A1151" s="11" t="s">
        <v>173</v>
      </c>
      <c r="B1151" s="11" t="s">
        <v>180</v>
      </c>
      <c r="C1151" s="11" t="s">
        <v>25</v>
      </c>
      <c r="D1151" s="18">
        <v>45894</v>
      </c>
      <c r="E1151" s="11" t="s">
        <v>1572</v>
      </c>
      <c r="F1151" s="11" t="s">
        <v>661</v>
      </c>
      <c r="G1151" s="19">
        <v>480000</v>
      </c>
    </row>
    <row r="1152" spans="1:7">
      <c r="A1152" s="11" t="s">
        <v>87</v>
      </c>
      <c r="B1152" s="11" t="s">
        <v>94</v>
      </c>
      <c r="C1152" s="11" t="s">
        <v>15</v>
      </c>
      <c r="D1152" s="18">
        <v>45894</v>
      </c>
      <c r="E1152" s="11" t="s">
        <v>1573</v>
      </c>
      <c r="F1152" s="11" t="s">
        <v>352</v>
      </c>
      <c r="G1152" s="19">
        <v>4096220</v>
      </c>
    </row>
    <row r="1153" spans="1:7">
      <c r="A1153" s="11" t="s">
        <v>38</v>
      </c>
      <c r="B1153" s="11" t="s">
        <v>136</v>
      </c>
      <c r="C1153" s="11" t="s">
        <v>15</v>
      </c>
      <c r="D1153" s="18">
        <v>45894</v>
      </c>
      <c r="E1153" s="11" t="s">
        <v>1574</v>
      </c>
      <c r="F1153" s="11" t="s">
        <v>326</v>
      </c>
      <c r="G1153" s="19">
        <v>267320</v>
      </c>
    </row>
    <row r="1154" spans="1:7">
      <c r="A1154" s="11" t="s">
        <v>43</v>
      </c>
      <c r="B1154" s="11" t="s">
        <v>139</v>
      </c>
      <c r="C1154" s="11" t="s">
        <v>44</v>
      </c>
      <c r="D1154" s="18">
        <v>45895</v>
      </c>
      <c r="E1154" s="11" t="s">
        <v>1575</v>
      </c>
      <c r="F1154" s="11" t="s">
        <v>435</v>
      </c>
      <c r="G1154" s="19">
        <v>50000</v>
      </c>
    </row>
    <row r="1155" spans="1:7">
      <c r="A1155" s="11" t="s">
        <v>55</v>
      </c>
      <c r="B1155" s="11" t="s">
        <v>165</v>
      </c>
      <c r="C1155" s="11" t="s">
        <v>44</v>
      </c>
      <c r="D1155" s="18">
        <v>45895</v>
      </c>
      <c r="E1155" s="11" t="s">
        <v>1575</v>
      </c>
      <c r="F1155" s="11" t="s">
        <v>1258</v>
      </c>
      <c r="G1155" s="19">
        <v>40000</v>
      </c>
    </row>
    <row r="1156" spans="1:7">
      <c r="A1156" s="11" t="s">
        <v>104</v>
      </c>
      <c r="B1156" s="11" t="s">
        <v>108</v>
      </c>
      <c r="C1156" s="11" t="s">
        <v>44</v>
      </c>
      <c r="D1156" s="18">
        <v>45895</v>
      </c>
      <c r="E1156" s="11" t="s">
        <v>1575</v>
      </c>
      <c r="F1156" s="11" t="s">
        <v>1576</v>
      </c>
      <c r="G1156" s="19">
        <v>505000</v>
      </c>
    </row>
    <row r="1157" spans="1:7">
      <c r="A1157" s="11" t="s">
        <v>43</v>
      </c>
      <c r="B1157" s="11" t="s">
        <v>139</v>
      </c>
      <c r="C1157" s="11" t="s">
        <v>44</v>
      </c>
      <c r="D1157" s="18">
        <v>45895</v>
      </c>
      <c r="E1157" s="11" t="s">
        <v>1577</v>
      </c>
      <c r="F1157" s="11" t="s">
        <v>435</v>
      </c>
      <c r="G1157" s="19">
        <v>29160</v>
      </c>
    </row>
    <row r="1158" spans="1:7">
      <c r="A1158" s="11" t="s">
        <v>22</v>
      </c>
      <c r="B1158" s="11" t="s">
        <v>119</v>
      </c>
      <c r="C1158" s="11" t="s">
        <v>120</v>
      </c>
      <c r="D1158" s="18">
        <v>45895</v>
      </c>
      <c r="E1158" s="11" t="s">
        <v>1578</v>
      </c>
      <c r="F1158" s="11" t="s">
        <v>1444</v>
      </c>
      <c r="G1158" s="19">
        <v>60700</v>
      </c>
    </row>
    <row r="1159" spans="1:7">
      <c r="A1159" s="11" t="s">
        <v>87</v>
      </c>
      <c r="B1159" s="11" t="s">
        <v>94</v>
      </c>
      <c r="C1159" s="11" t="s">
        <v>15</v>
      </c>
      <c r="D1159" s="18">
        <v>45895</v>
      </c>
      <c r="E1159" s="11" t="s">
        <v>1579</v>
      </c>
      <c r="F1159" s="11" t="s">
        <v>340</v>
      </c>
      <c r="G1159" s="19">
        <v>198000</v>
      </c>
    </row>
    <row r="1160" spans="1:7">
      <c r="A1160" s="11" t="s">
        <v>87</v>
      </c>
      <c r="B1160" s="11" t="s">
        <v>94</v>
      </c>
      <c r="C1160" s="11" t="s">
        <v>15</v>
      </c>
      <c r="D1160" s="18">
        <v>45895</v>
      </c>
      <c r="E1160" s="11" t="s">
        <v>1580</v>
      </c>
      <c r="F1160" s="11" t="s">
        <v>342</v>
      </c>
      <c r="G1160" s="19">
        <v>660000</v>
      </c>
    </row>
    <row r="1161" spans="1:7">
      <c r="A1161" s="11" t="s">
        <v>87</v>
      </c>
      <c r="B1161" s="11" t="s">
        <v>94</v>
      </c>
      <c r="C1161" s="11" t="s">
        <v>15</v>
      </c>
      <c r="D1161" s="18">
        <v>45895</v>
      </c>
      <c r="E1161" s="11" t="s">
        <v>1581</v>
      </c>
      <c r="F1161" s="11" t="s">
        <v>346</v>
      </c>
      <c r="G1161" s="19">
        <v>330000</v>
      </c>
    </row>
    <row r="1162" spans="1:7">
      <c r="A1162" s="11" t="s">
        <v>75</v>
      </c>
      <c r="B1162" s="11" t="s">
        <v>76</v>
      </c>
      <c r="C1162" s="11" t="s">
        <v>15</v>
      </c>
      <c r="D1162" s="18">
        <v>45895</v>
      </c>
      <c r="E1162" s="11" t="s">
        <v>1582</v>
      </c>
      <c r="F1162" s="11" t="s">
        <v>344</v>
      </c>
      <c r="G1162" s="19">
        <v>759000</v>
      </c>
    </row>
    <row r="1163" spans="1:7">
      <c r="A1163" s="11" t="s">
        <v>38</v>
      </c>
      <c r="B1163" s="11" t="s">
        <v>138</v>
      </c>
      <c r="C1163" s="11" t="s">
        <v>15</v>
      </c>
      <c r="D1163" s="18">
        <v>45895</v>
      </c>
      <c r="E1163" s="11" t="s">
        <v>1583</v>
      </c>
      <c r="F1163" s="11" t="s">
        <v>348</v>
      </c>
      <c r="G1163" s="19">
        <v>572380</v>
      </c>
    </row>
    <row r="1164" spans="1:7">
      <c r="A1164" s="11" t="s">
        <v>38</v>
      </c>
      <c r="B1164" s="11" t="s">
        <v>136</v>
      </c>
      <c r="C1164" s="11" t="s">
        <v>15</v>
      </c>
      <c r="D1164" s="18">
        <v>45895</v>
      </c>
      <c r="E1164" s="11" t="s">
        <v>1584</v>
      </c>
      <c r="F1164" s="11" t="s">
        <v>335</v>
      </c>
      <c r="G1164" s="19">
        <v>858600</v>
      </c>
    </row>
    <row r="1165" spans="1:7">
      <c r="A1165" s="11" t="s">
        <v>87</v>
      </c>
      <c r="B1165" s="11" t="s">
        <v>88</v>
      </c>
      <c r="C1165" s="11" t="s">
        <v>92</v>
      </c>
      <c r="D1165" s="18">
        <v>45895</v>
      </c>
      <c r="E1165" s="11" t="s">
        <v>1585</v>
      </c>
      <c r="F1165" s="11" t="s">
        <v>330</v>
      </c>
      <c r="G1165" s="19">
        <v>800800</v>
      </c>
    </row>
    <row r="1166" spans="1:7">
      <c r="A1166" s="11" t="s">
        <v>38</v>
      </c>
      <c r="B1166" s="11" t="s">
        <v>39</v>
      </c>
      <c r="C1166" s="11" t="s">
        <v>15</v>
      </c>
      <c r="D1166" s="18">
        <v>45895</v>
      </c>
      <c r="E1166" s="11" t="s">
        <v>1586</v>
      </c>
      <c r="F1166" s="11" t="s">
        <v>330</v>
      </c>
      <c r="G1166" s="19">
        <v>16500</v>
      </c>
    </row>
    <row r="1167" spans="1:7">
      <c r="A1167" s="11" t="s">
        <v>104</v>
      </c>
      <c r="B1167" s="11" t="s">
        <v>105</v>
      </c>
      <c r="C1167" s="11" t="s">
        <v>14</v>
      </c>
      <c r="D1167" s="18">
        <v>45897</v>
      </c>
      <c r="E1167" s="11" t="s">
        <v>1587</v>
      </c>
      <c r="F1167" s="11" t="s">
        <v>1588</v>
      </c>
      <c r="G1167" s="19">
        <v>50000</v>
      </c>
    </row>
    <row r="1168" spans="1:7">
      <c r="A1168" s="11" t="s">
        <v>28</v>
      </c>
      <c r="B1168" s="11" t="s">
        <v>29</v>
      </c>
      <c r="C1168" s="11" t="s">
        <v>15</v>
      </c>
      <c r="D1168" s="18">
        <v>45897</v>
      </c>
      <c r="E1168" s="11" t="s">
        <v>1589</v>
      </c>
      <c r="F1168" s="11" t="s">
        <v>1590</v>
      </c>
      <c r="G1168" s="19">
        <v>13000</v>
      </c>
    </row>
    <row r="1169" spans="1:7">
      <c r="A1169" s="11" t="s">
        <v>168</v>
      </c>
      <c r="B1169" s="11" t="s">
        <v>169</v>
      </c>
      <c r="C1169" s="11" t="s">
        <v>13</v>
      </c>
      <c r="D1169" s="18">
        <v>45897</v>
      </c>
      <c r="E1169" s="11" t="s">
        <v>1591</v>
      </c>
      <c r="F1169" s="11" t="s">
        <v>1592</v>
      </c>
      <c r="G1169" s="19">
        <v>400000</v>
      </c>
    </row>
    <row r="1170" spans="1:7">
      <c r="A1170" s="11" t="s">
        <v>11</v>
      </c>
      <c r="B1170" s="11" t="s">
        <v>112</v>
      </c>
      <c r="C1170" s="11" t="s">
        <v>12</v>
      </c>
      <c r="D1170" s="18">
        <v>45897</v>
      </c>
      <c r="E1170" s="11" t="s">
        <v>1593</v>
      </c>
      <c r="F1170" s="11" t="s">
        <v>1594</v>
      </c>
      <c r="G1170" s="19">
        <v>1150000</v>
      </c>
    </row>
    <row r="1171" spans="1:7">
      <c r="A1171" s="11" t="s">
        <v>79</v>
      </c>
      <c r="B1171" s="11" t="s">
        <v>198</v>
      </c>
      <c r="C1171" s="11" t="s">
        <v>15</v>
      </c>
      <c r="D1171" s="18">
        <v>45897</v>
      </c>
      <c r="E1171" s="11" t="s">
        <v>1595</v>
      </c>
      <c r="F1171" s="11" t="s">
        <v>1596</v>
      </c>
      <c r="G1171" s="19">
        <v>12188000</v>
      </c>
    </row>
    <row r="1172" spans="1:7">
      <c r="A1172" s="11" t="s">
        <v>109</v>
      </c>
      <c r="B1172" s="11" t="s">
        <v>215</v>
      </c>
      <c r="C1172" s="11" t="s">
        <v>120</v>
      </c>
      <c r="D1172" s="18">
        <v>45898</v>
      </c>
      <c r="E1172" s="11" t="s">
        <v>1597</v>
      </c>
      <c r="F1172" s="11" t="s">
        <v>370</v>
      </c>
      <c r="G1172" s="19">
        <v>1262560</v>
      </c>
    </row>
    <row r="1173" spans="1:7">
      <c r="A1173" s="11" t="s">
        <v>55</v>
      </c>
      <c r="B1173" s="11" t="s">
        <v>163</v>
      </c>
      <c r="C1173" s="11" t="s">
        <v>120</v>
      </c>
      <c r="D1173" s="18">
        <v>45898</v>
      </c>
      <c r="E1173" s="11" t="s">
        <v>1598</v>
      </c>
      <c r="F1173" s="11" t="s">
        <v>372</v>
      </c>
      <c r="G1173" s="19">
        <v>874080</v>
      </c>
    </row>
    <row r="1174" spans="1:7">
      <c r="A1174" s="11" t="s">
        <v>200</v>
      </c>
      <c r="B1174" s="11" t="s">
        <v>201</v>
      </c>
      <c r="C1174" s="11" t="s">
        <v>120</v>
      </c>
      <c r="D1174" s="18">
        <v>45898</v>
      </c>
      <c r="E1174" s="11" t="s">
        <v>1599</v>
      </c>
      <c r="F1174" s="11" t="s">
        <v>368</v>
      </c>
      <c r="G1174" s="19">
        <v>4416540</v>
      </c>
    </row>
    <row r="1175" spans="1:7">
      <c r="A1175" s="11" t="s">
        <v>22</v>
      </c>
      <c r="B1175" s="11" t="s">
        <v>119</v>
      </c>
      <c r="C1175" s="11" t="s">
        <v>120</v>
      </c>
      <c r="D1175" s="18">
        <v>45898</v>
      </c>
      <c r="E1175" s="11" t="s">
        <v>1600</v>
      </c>
      <c r="F1175" s="11" t="s">
        <v>1601</v>
      </c>
      <c r="G1175" s="19">
        <v>11709280</v>
      </c>
    </row>
    <row r="1176" spans="1:7">
      <c r="A1176" s="11" t="s">
        <v>22</v>
      </c>
      <c r="B1176" s="11" t="s">
        <v>119</v>
      </c>
      <c r="C1176" s="11" t="s">
        <v>120</v>
      </c>
      <c r="D1176" s="18">
        <v>45898</v>
      </c>
      <c r="E1176" s="11" t="s">
        <v>1602</v>
      </c>
      <c r="F1176" s="11" t="s">
        <v>1603</v>
      </c>
      <c r="G1176" s="19">
        <v>198070</v>
      </c>
    </row>
    <row r="1177" spans="1:7">
      <c r="A1177" s="11" t="s">
        <v>173</v>
      </c>
      <c r="B1177" s="11" t="s">
        <v>179</v>
      </c>
      <c r="C1177" s="11" t="s">
        <v>15</v>
      </c>
      <c r="D1177" s="18">
        <v>45898</v>
      </c>
      <c r="E1177" s="11" t="s">
        <v>1604</v>
      </c>
      <c r="F1177" s="11" t="s">
        <v>651</v>
      </c>
      <c r="G1177" s="19">
        <v>679840</v>
      </c>
    </row>
    <row r="1178" spans="1:7">
      <c r="A1178" s="11" t="s">
        <v>173</v>
      </c>
      <c r="B1178" s="11" t="s">
        <v>180</v>
      </c>
      <c r="C1178" s="11" t="s">
        <v>25</v>
      </c>
      <c r="D1178" s="18">
        <v>45898</v>
      </c>
      <c r="E1178" s="11" t="s">
        <v>1605</v>
      </c>
      <c r="F1178" s="11" t="s">
        <v>249</v>
      </c>
      <c r="G1178" s="19">
        <v>320000</v>
      </c>
    </row>
    <row r="1179" spans="1:7">
      <c r="A1179" s="11" t="s">
        <v>28</v>
      </c>
      <c r="B1179" s="11" t="s">
        <v>127</v>
      </c>
      <c r="C1179" s="11" t="s">
        <v>15</v>
      </c>
      <c r="D1179" s="18">
        <v>45898</v>
      </c>
      <c r="E1179" s="11" t="s">
        <v>1606</v>
      </c>
      <c r="F1179" s="11" t="s">
        <v>319</v>
      </c>
      <c r="G1179" s="19">
        <v>273900</v>
      </c>
    </row>
    <row r="1180" spans="1:7">
      <c r="A1180" s="11" t="s">
        <v>87</v>
      </c>
      <c r="B1180" s="11" t="s">
        <v>95</v>
      </c>
      <c r="C1180" s="11" t="s">
        <v>15</v>
      </c>
      <c r="D1180" s="18">
        <v>45898</v>
      </c>
      <c r="E1180" s="11" t="s">
        <v>1607</v>
      </c>
      <c r="F1180" s="11" t="s">
        <v>779</v>
      </c>
      <c r="G1180" s="19">
        <v>1210000</v>
      </c>
    </row>
    <row r="1181" spans="1:7">
      <c r="A1181" s="11" t="s">
        <v>22</v>
      </c>
      <c r="B1181" s="11" t="s">
        <v>119</v>
      </c>
      <c r="C1181" s="11" t="s">
        <v>120</v>
      </c>
      <c r="D1181" s="18">
        <v>45898</v>
      </c>
      <c r="E1181" s="11" t="s">
        <v>1608</v>
      </c>
      <c r="F1181" s="11" t="s">
        <v>1603</v>
      </c>
      <c r="G1181" s="19">
        <v>99040</v>
      </c>
    </row>
    <row r="1182" spans="1:7">
      <c r="A1182" s="11" t="s">
        <v>104</v>
      </c>
      <c r="B1182" s="11" t="s">
        <v>108</v>
      </c>
      <c r="C1182" s="11" t="s">
        <v>15</v>
      </c>
      <c r="D1182" s="18">
        <v>45898</v>
      </c>
      <c r="E1182" s="11" t="s">
        <v>1609</v>
      </c>
      <c r="F1182" s="11" t="s">
        <v>255</v>
      </c>
      <c r="G1182" s="19">
        <v>120</v>
      </c>
    </row>
    <row r="1183" spans="1:7">
      <c r="A1183" s="11" t="s">
        <v>173</v>
      </c>
      <c r="B1183" s="11" t="s">
        <v>178</v>
      </c>
      <c r="C1183" s="11" t="s">
        <v>13</v>
      </c>
      <c r="D1183" s="18">
        <v>45898</v>
      </c>
      <c r="E1183" s="11" t="s">
        <v>1610</v>
      </c>
      <c r="F1183" s="11" t="s">
        <v>389</v>
      </c>
      <c r="G1183" s="19">
        <v>5610000</v>
      </c>
    </row>
    <row r="1184" spans="1:7">
      <c r="A1184" s="11" t="s">
        <v>173</v>
      </c>
      <c r="B1184" s="11" t="s">
        <v>180</v>
      </c>
      <c r="C1184" s="11" t="s">
        <v>25</v>
      </c>
      <c r="D1184" s="18">
        <v>45898</v>
      </c>
      <c r="E1184" s="11" t="s">
        <v>1611</v>
      </c>
      <c r="F1184" s="11" t="s">
        <v>896</v>
      </c>
      <c r="G1184" s="19">
        <v>6960000</v>
      </c>
    </row>
    <row r="1185" spans="1:7">
      <c r="A1185" s="11" t="s">
        <v>104</v>
      </c>
      <c r="B1185" s="11" t="s">
        <v>105</v>
      </c>
      <c r="C1185" s="11" t="s">
        <v>107</v>
      </c>
      <c r="D1185" s="18">
        <v>45901</v>
      </c>
      <c r="E1185" s="11" t="s">
        <v>1612</v>
      </c>
      <c r="F1185" s="11" t="s">
        <v>231</v>
      </c>
      <c r="G1185" s="19">
        <v>370000</v>
      </c>
    </row>
    <row r="1186" spans="1:7">
      <c r="A1186" s="11" t="s">
        <v>28</v>
      </c>
      <c r="B1186" s="11" t="s">
        <v>125</v>
      </c>
      <c r="C1186" s="11" t="s">
        <v>15</v>
      </c>
      <c r="D1186" s="18">
        <v>45901</v>
      </c>
      <c r="E1186" s="11" t="s">
        <v>1613</v>
      </c>
      <c r="F1186" s="11" t="s">
        <v>838</v>
      </c>
      <c r="G1186" s="19">
        <v>226600</v>
      </c>
    </row>
    <row r="1187" spans="1:7">
      <c r="A1187" s="11" t="s">
        <v>45</v>
      </c>
      <c r="B1187" s="11" t="s">
        <v>143</v>
      </c>
      <c r="C1187" s="11" t="s">
        <v>15</v>
      </c>
      <c r="D1187" s="18">
        <v>45901</v>
      </c>
      <c r="E1187" s="11" t="s">
        <v>1614</v>
      </c>
      <c r="F1187" s="11" t="s">
        <v>426</v>
      </c>
      <c r="G1187" s="19">
        <v>3646080</v>
      </c>
    </row>
    <row r="1188" spans="1:7">
      <c r="A1188" s="11" t="s">
        <v>28</v>
      </c>
      <c r="B1188" s="11" t="s">
        <v>29</v>
      </c>
      <c r="C1188" s="11" t="s">
        <v>15</v>
      </c>
      <c r="D1188" s="18">
        <v>45901</v>
      </c>
      <c r="E1188" s="11" t="s">
        <v>1615</v>
      </c>
      <c r="F1188" s="11" t="s">
        <v>405</v>
      </c>
      <c r="G1188" s="19">
        <v>257400</v>
      </c>
    </row>
    <row r="1189" spans="1:7">
      <c r="A1189" s="11" t="s">
        <v>28</v>
      </c>
      <c r="B1189" s="11" t="s">
        <v>127</v>
      </c>
      <c r="C1189" s="11" t="s">
        <v>32</v>
      </c>
      <c r="D1189" s="18">
        <v>45901</v>
      </c>
      <c r="E1189" s="11" t="s">
        <v>1616</v>
      </c>
      <c r="F1189" s="11" t="s">
        <v>407</v>
      </c>
      <c r="G1189" s="19">
        <v>189060</v>
      </c>
    </row>
    <row r="1190" spans="1:7">
      <c r="A1190" s="11" t="s">
        <v>28</v>
      </c>
      <c r="B1190" s="11" t="s">
        <v>126</v>
      </c>
      <c r="C1190" s="11" t="s">
        <v>32</v>
      </c>
      <c r="D1190" s="18">
        <v>45901</v>
      </c>
      <c r="E1190" s="11" t="s">
        <v>1616</v>
      </c>
      <c r="F1190" s="11" t="s">
        <v>407</v>
      </c>
      <c r="G1190" s="19">
        <v>2203440</v>
      </c>
    </row>
    <row r="1191" spans="1:7">
      <c r="A1191" s="11" t="s">
        <v>104</v>
      </c>
      <c r="B1191" s="11" t="s">
        <v>108</v>
      </c>
      <c r="C1191" s="11" t="s">
        <v>15</v>
      </c>
      <c r="D1191" s="18">
        <v>45901</v>
      </c>
      <c r="E1191" s="11" t="s">
        <v>1617</v>
      </c>
      <c r="F1191" s="11" t="s">
        <v>396</v>
      </c>
      <c r="G1191" s="19">
        <v>21000</v>
      </c>
    </row>
    <row r="1192" spans="1:7">
      <c r="A1192" s="11" t="s">
        <v>87</v>
      </c>
      <c r="B1192" s="11" t="s">
        <v>89</v>
      </c>
      <c r="C1192" s="11" t="s">
        <v>89</v>
      </c>
      <c r="D1192" s="18">
        <v>45901</v>
      </c>
      <c r="E1192" s="11" t="s">
        <v>1618</v>
      </c>
      <c r="F1192" s="11" t="s">
        <v>382</v>
      </c>
      <c r="G1192" s="19">
        <v>3081250</v>
      </c>
    </row>
    <row r="1193" spans="1:7">
      <c r="A1193" s="11" t="s">
        <v>87</v>
      </c>
      <c r="B1193" s="11" t="s">
        <v>89</v>
      </c>
      <c r="C1193" s="11" t="s">
        <v>89</v>
      </c>
      <c r="D1193" s="18">
        <v>45901</v>
      </c>
      <c r="E1193" s="11" t="s">
        <v>1619</v>
      </c>
      <c r="F1193" s="11" t="s">
        <v>378</v>
      </c>
      <c r="G1193" s="19">
        <v>2500</v>
      </c>
    </row>
    <row r="1194" spans="1:7">
      <c r="A1194" s="11" t="s">
        <v>104</v>
      </c>
      <c r="B1194" s="11" t="s">
        <v>108</v>
      </c>
      <c r="C1194" s="11" t="s">
        <v>15</v>
      </c>
      <c r="D1194" s="18">
        <v>45902</v>
      </c>
      <c r="E1194" s="11" t="s">
        <v>1620</v>
      </c>
      <c r="F1194" s="11" t="s">
        <v>409</v>
      </c>
      <c r="G1194" s="19">
        <v>88000</v>
      </c>
    </row>
    <row r="1195" spans="1:7">
      <c r="A1195" s="11" t="s">
        <v>43</v>
      </c>
      <c r="B1195" s="11" t="s">
        <v>139</v>
      </c>
      <c r="C1195" s="11" t="s">
        <v>25</v>
      </c>
      <c r="D1195" s="18">
        <v>45902</v>
      </c>
      <c r="E1195" s="11" t="s">
        <v>1621</v>
      </c>
      <c r="F1195" s="11" t="s">
        <v>1622</v>
      </c>
      <c r="G1195" s="19">
        <v>688000</v>
      </c>
    </row>
    <row r="1196" spans="1:7">
      <c r="A1196" s="11" t="s">
        <v>22</v>
      </c>
      <c r="B1196" s="11" t="s">
        <v>119</v>
      </c>
      <c r="C1196" s="11" t="s">
        <v>120</v>
      </c>
      <c r="D1196" s="18">
        <v>45902</v>
      </c>
      <c r="E1196" s="11" t="s">
        <v>1623</v>
      </c>
      <c r="F1196" s="11" t="s">
        <v>1603</v>
      </c>
      <c r="G1196" s="19">
        <v>99040</v>
      </c>
    </row>
    <row r="1197" spans="1:7">
      <c r="A1197" s="11" t="s">
        <v>28</v>
      </c>
      <c r="B1197" s="11" t="s">
        <v>123</v>
      </c>
      <c r="C1197" s="11" t="s">
        <v>15</v>
      </c>
      <c r="D1197" s="18">
        <v>45902</v>
      </c>
      <c r="E1197" s="11" t="s">
        <v>1624</v>
      </c>
      <c r="F1197" s="11" t="s">
        <v>428</v>
      </c>
      <c r="G1197" s="19">
        <v>2805580</v>
      </c>
    </row>
    <row r="1198" spans="1:7">
      <c r="A1198" s="11" t="s">
        <v>22</v>
      </c>
      <c r="B1198" s="11" t="s">
        <v>119</v>
      </c>
      <c r="C1198" s="11" t="s">
        <v>120</v>
      </c>
      <c r="D1198" s="18">
        <v>45902</v>
      </c>
      <c r="E1198" s="11" t="s">
        <v>1625</v>
      </c>
      <c r="F1198" s="11" t="s">
        <v>433</v>
      </c>
      <c r="G1198" s="19">
        <v>1369900</v>
      </c>
    </row>
    <row r="1199" spans="1:7">
      <c r="A1199" s="11" t="s">
        <v>74</v>
      </c>
      <c r="B1199" s="11" t="s">
        <v>193</v>
      </c>
      <c r="C1199" s="11" t="s">
        <v>15</v>
      </c>
      <c r="D1199" s="18">
        <v>45902</v>
      </c>
      <c r="E1199" s="11" t="s">
        <v>1626</v>
      </c>
      <c r="F1199" s="11" t="s">
        <v>535</v>
      </c>
      <c r="G1199" s="19">
        <v>220000</v>
      </c>
    </row>
    <row r="1200" spans="1:7">
      <c r="A1200" s="11" t="s">
        <v>22</v>
      </c>
      <c r="B1200" s="11" t="s">
        <v>119</v>
      </c>
      <c r="C1200" s="11" t="s">
        <v>120</v>
      </c>
      <c r="D1200" s="18">
        <v>45903</v>
      </c>
      <c r="E1200" s="11" t="s">
        <v>1627</v>
      </c>
      <c r="F1200" s="11" t="s">
        <v>358</v>
      </c>
      <c r="G1200" s="19">
        <v>195780</v>
      </c>
    </row>
    <row r="1201" spans="1:7">
      <c r="A1201" s="11" t="s">
        <v>173</v>
      </c>
      <c r="B1201" s="11" t="s">
        <v>176</v>
      </c>
      <c r="C1201" s="11" t="s">
        <v>13</v>
      </c>
      <c r="D1201" s="18">
        <v>45903</v>
      </c>
      <c r="E1201" s="11" t="s">
        <v>1628</v>
      </c>
      <c r="F1201" s="11" t="s">
        <v>394</v>
      </c>
      <c r="G1201" s="19">
        <v>176000</v>
      </c>
    </row>
    <row r="1202" spans="1:7">
      <c r="A1202" s="11" t="s">
        <v>173</v>
      </c>
      <c r="B1202" s="11" t="s">
        <v>175</v>
      </c>
      <c r="C1202" s="11" t="s">
        <v>13</v>
      </c>
      <c r="D1202" s="18">
        <v>45903</v>
      </c>
      <c r="E1202" s="11" t="s">
        <v>1628</v>
      </c>
      <c r="F1202" s="11" t="s">
        <v>393</v>
      </c>
      <c r="G1202" s="19">
        <v>600000</v>
      </c>
    </row>
    <row r="1203" spans="1:7">
      <c r="A1203" s="11" t="s">
        <v>144</v>
      </c>
      <c r="B1203" s="11" t="s">
        <v>51</v>
      </c>
      <c r="C1203" s="11" t="s">
        <v>25</v>
      </c>
      <c r="D1203" s="18">
        <v>45903</v>
      </c>
      <c r="E1203" s="11" t="s">
        <v>1629</v>
      </c>
      <c r="F1203" s="11" t="s">
        <v>1630</v>
      </c>
      <c r="G1203" s="19">
        <v>15000</v>
      </c>
    </row>
    <row r="1204" spans="1:7">
      <c r="A1204" s="11" t="s">
        <v>28</v>
      </c>
      <c r="B1204" s="11" t="s">
        <v>125</v>
      </c>
      <c r="C1204" s="11" t="s">
        <v>32</v>
      </c>
      <c r="D1204" s="18">
        <v>45903</v>
      </c>
      <c r="E1204" s="11" t="s">
        <v>1631</v>
      </c>
      <c r="F1204" s="11" t="s">
        <v>411</v>
      </c>
      <c r="G1204" s="19">
        <v>6830270</v>
      </c>
    </row>
    <row r="1205" spans="1:7">
      <c r="A1205" s="11" t="s">
        <v>28</v>
      </c>
      <c r="B1205" s="11" t="s">
        <v>125</v>
      </c>
      <c r="C1205" s="11" t="s">
        <v>32</v>
      </c>
      <c r="D1205" s="18">
        <v>45903</v>
      </c>
      <c r="E1205" s="11" t="s">
        <v>1632</v>
      </c>
      <c r="F1205" s="11" t="s">
        <v>415</v>
      </c>
      <c r="G1205" s="19">
        <v>1794880</v>
      </c>
    </row>
    <row r="1206" spans="1:7">
      <c r="A1206" s="11" t="s">
        <v>28</v>
      </c>
      <c r="B1206" s="11" t="s">
        <v>125</v>
      </c>
      <c r="C1206" s="11" t="s">
        <v>32</v>
      </c>
      <c r="D1206" s="18">
        <v>45903</v>
      </c>
      <c r="E1206" s="11" t="s">
        <v>1633</v>
      </c>
      <c r="F1206" s="11" t="s">
        <v>1429</v>
      </c>
      <c r="G1206" s="19">
        <v>7490000</v>
      </c>
    </row>
    <row r="1207" spans="1:7">
      <c r="A1207" s="11" t="s">
        <v>28</v>
      </c>
      <c r="B1207" s="11" t="s">
        <v>125</v>
      </c>
      <c r="C1207" s="11" t="s">
        <v>32</v>
      </c>
      <c r="D1207" s="18">
        <v>45903</v>
      </c>
      <c r="E1207" s="11" t="s">
        <v>1634</v>
      </c>
      <c r="F1207" s="11" t="s">
        <v>683</v>
      </c>
      <c r="G1207" s="19">
        <v>1424700</v>
      </c>
    </row>
    <row r="1208" spans="1:7">
      <c r="A1208" s="11" t="s">
        <v>28</v>
      </c>
      <c r="B1208" s="11" t="s">
        <v>125</v>
      </c>
      <c r="C1208" s="11" t="s">
        <v>32</v>
      </c>
      <c r="D1208" s="18">
        <v>45903</v>
      </c>
      <c r="E1208" s="11" t="s">
        <v>1635</v>
      </c>
      <c r="F1208" s="11" t="s">
        <v>417</v>
      </c>
      <c r="G1208" s="19">
        <v>2005000</v>
      </c>
    </row>
    <row r="1209" spans="1:7">
      <c r="A1209" s="11" t="s">
        <v>28</v>
      </c>
      <c r="B1209" s="11" t="s">
        <v>125</v>
      </c>
      <c r="C1209" s="11" t="s">
        <v>32</v>
      </c>
      <c r="D1209" s="18">
        <v>45903</v>
      </c>
      <c r="E1209" s="11" t="s">
        <v>1636</v>
      </c>
      <c r="F1209" s="11" t="s">
        <v>413</v>
      </c>
      <c r="G1209" s="19">
        <v>4921150</v>
      </c>
    </row>
    <row r="1210" spans="1:7">
      <c r="A1210" s="11" t="s">
        <v>22</v>
      </c>
      <c r="B1210" s="11" t="s">
        <v>121</v>
      </c>
      <c r="C1210" s="11" t="s">
        <v>122</v>
      </c>
      <c r="D1210" s="18">
        <v>45903</v>
      </c>
      <c r="E1210" s="11" t="s">
        <v>1637</v>
      </c>
      <c r="F1210" s="11" t="s">
        <v>1638</v>
      </c>
      <c r="G1210" s="19">
        <v>1815000</v>
      </c>
    </row>
    <row r="1211" spans="1:7">
      <c r="A1211" s="11" t="s">
        <v>22</v>
      </c>
      <c r="B1211" s="11" t="s">
        <v>119</v>
      </c>
      <c r="C1211" s="11" t="s">
        <v>120</v>
      </c>
      <c r="D1211" s="18">
        <v>45904</v>
      </c>
      <c r="E1211" s="11" t="s">
        <v>1639</v>
      </c>
      <c r="F1211" s="11" t="s">
        <v>338</v>
      </c>
      <c r="G1211" s="19">
        <v>60700</v>
      </c>
    </row>
    <row r="1212" spans="1:7">
      <c r="A1212" s="11" t="s">
        <v>22</v>
      </c>
      <c r="B1212" s="11" t="s">
        <v>119</v>
      </c>
      <c r="C1212" s="11" t="s">
        <v>120</v>
      </c>
      <c r="D1212" s="18">
        <v>45904</v>
      </c>
      <c r="E1212" s="11" t="s">
        <v>1640</v>
      </c>
      <c r="F1212" s="11" t="s">
        <v>338</v>
      </c>
      <c r="G1212" s="19">
        <v>60700</v>
      </c>
    </row>
    <row r="1213" spans="1:7">
      <c r="A1213" s="11" t="s">
        <v>144</v>
      </c>
      <c r="B1213" s="11" t="s">
        <v>149</v>
      </c>
      <c r="C1213" s="11" t="s">
        <v>25</v>
      </c>
      <c r="D1213" s="18">
        <v>45904</v>
      </c>
      <c r="E1213" s="11" t="s">
        <v>1641</v>
      </c>
      <c r="F1213" s="11" t="s">
        <v>654</v>
      </c>
      <c r="G1213" s="19">
        <v>350000</v>
      </c>
    </row>
    <row r="1214" spans="1:7">
      <c r="A1214" s="11" t="s">
        <v>144</v>
      </c>
      <c r="B1214" s="11" t="s">
        <v>149</v>
      </c>
      <c r="C1214" s="11" t="s">
        <v>25</v>
      </c>
      <c r="D1214" s="18">
        <v>45904</v>
      </c>
      <c r="E1214" s="11" t="s">
        <v>1642</v>
      </c>
      <c r="F1214" s="11" t="s">
        <v>659</v>
      </c>
      <c r="G1214" s="19">
        <v>25000</v>
      </c>
    </row>
    <row r="1215" spans="1:7">
      <c r="A1215" s="11" t="s">
        <v>70</v>
      </c>
      <c r="B1215" s="11" t="s">
        <v>191</v>
      </c>
      <c r="C1215" s="11" t="s">
        <v>25</v>
      </c>
      <c r="D1215" s="18">
        <v>45904</v>
      </c>
      <c r="E1215" s="11" t="s">
        <v>1642</v>
      </c>
      <c r="F1215" s="11" t="s">
        <v>659</v>
      </c>
      <c r="G1215" s="19">
        <v>250000</v>
      </c>
    </row>
    <row r="1216" spans="1:7">
      <c r="A1216" s="11" t="s">
        <v>83</v>
      </c>
      <c r="B1216" s="11" t="s">
        <v>206</v>
      </c>
      <c r="C1216" s="11" t="s">
        <v>25</v>
      </c>
      <c r="D1216" s="18">
        <v>45904</v>
      </c>
      <c r="E1216" s="11" t="s">
        <v>1642</v>
      </c>
      <c r="F1216" s="11" t="s">
        <v>659</v>
      </c>
      <c r="G1216" s="19">
        <v>25000</v>
      </c>
    </row>
    <row r="1217" spans="1:7">
      <c r="A1217" s="11" t="s">
        <v>104</v>
      </c>
      <c r="B1217" s="11" t="s">
        <v>108</v>
      </c>
      <c r="C1217" s="11" t="s">
        <v>15</v>
      </c>
      <c r="D1217" s="18">
        <v>45904</v>
      </c>
      <c r="E1217" s="11" t="s">
        <v>1643</v>
      </c>
      <c r="F1217" s="11" t="s">
        <v>255</v>
      </c>
      <c r="G1217" s="19">
        <v>240</v>
      </c>
    </row>
    <row r="1218" spans="1:7">
      <c r="A1218" s="11" t="s">
        <v>22</v>
      </c>
      <c r="B1218" s="11" t="s">
        <v>119</v>
      </c>
      <c r="C1218" s="11" t="s">
        <v>120</v>
      </c>
      <c r="D1218" s="18">
        <v>45905</v>
      </c>
      <c r="E1218" s="11" t="s">
        <v>1644</v>
      </c>
      <c r="F1218" s="11" t="s">
        <v>297</v>
      </c>
      <c r="G1218" s="19">
        <v>9852690</v>
      </c>
    </row>
    <row r="1219" spans="1:7">
      <c r="A1219" s="11" t="s">
        <v>75</v>
      </c>
      <c r="B1219" s="11" t="s">
        <v>76</v>
      </c>
      <c r="C1219" s="11" t="s">
        <v>13</v>
      </c>
      <c r="D1219" s="18">
        <v>45905</v>
      </c>
      <c r="E1219" s="11" t="s">
        <v>1645</v>
      </c>
      <c r="F1219" s="11" t="s">
        <v>225</v>
      </c>
      <c r="G1219" s="19">
        <v>528000</v>
      </c>
    </row>
    <row r="1220" spans="1:7">
      <c r="A1220" s="11" t="s">
        <v>28</v>
      </c>
      <c r="B1220" s="11" t="s">
        <v>29</v>
      </c>
      <c r="C1220" s="11" t="s">
        <v>15</v>
      </c>
      <c r="D1220" s="18">
        <v>45905</v>
      </c>
      <c r="E1220" s="11" t="s">
        <v>1646</v>
      </c>
      <c r="F1220" s="11" t="s">
        <v>838</v>
      </c>
      <c r="G1220" s="19">
        <v>202400</v>
      </c>
    </row>
    <row r="1221" spans="1:7">
      <c r="A1221" s="11" t="s">
        <v>28</v>
      </c>
      <c r="B1221" s="11" t="s">
        <v>125</v>
      </c>
      <c r="C1221" s="11" t="s">
        <v>15</v>
      </c>
      <c r="D1221" s="18">
        <v>45905</v>
      </c>
      <c r="E1221" s="11" t="s">
        <v>1646</v>
      </c>
      <c r="F1221" s="11" t="s">
        <v>838</v>
      </c>
      <c r="G1221" s="19">
        <v>887800</v>
      </c>
    </row>
    <row r="1222" spans="1:7">
      <c r="A1222" s="11" t="s">
        <v>28</v>
      </c>
      <c r="B1222" s="11" t="s">
        <v>125</v>
      </c>
      <c r="C1222" s="11" t="s">
        <v>32</v>
      </c>
      <c r="D1222" s="18">
        <v>45905</v>
      </c>
      <c r="E1222" s="11" t="s">
        <v>1647</v>
      </c>
      <c r="F1222" s="11" t="s">
        <v>407</v>
      </c>
      <c r="G1222" s="19">
        <v>-2</v>
      </c>
    </row>
    <row r="1223" spans="1:7">
      <c r="A1223" s="11" t="s">
        <v>28</v>
      </c>
      <c r="B1223" s="11" t="s">
        <v>127</v>
      </c>
      <c r="C1223" s="11" t="s">
        <v>32</v>
      </c>
      <c r="D1223" s="18">
        <v>45905</v>
      </c>
      <c r="E1223" s="11" t="s">
        <v>1647</v>
      </c>
      <c r="F1223" s="11" t="s">
        <v>407</v>
      </c>
      <c r="G1223" s="19">
        <v>-8</v>
      </c>
    </row>
    <row r="1224" spans="1:7">
      <c r="A1224" s="11" t="s">
        <v>28</v>
      </c>
      <c r="B1224" s="11" t="s">
        <v>125</v>
      </c>
      <c r="C1224" s="11" t="s">
        <v>32</v>
      </c>
      <c r="D1224" s="18">
        <v>45905</v>
      </c>
      <c r="E1224" s="11" t="s">
        <v>1648</v>
      </c>
      <c r="F1224" s="11" t="s">
        <v>687</v>
      </c>
      <c r="G1224" s="19">
        <v>55000</v>
      </c>
    </row>
    <row r="1225" spans="1:7">
      <c r="A1225" s="11" t="s">
        <v>87</v>
      </c>
      <c r="B1225" s="11" t="s">
        <v>96</v>
      </c>
      <c r="C1225" s="11" t="s">
        <v>15</v>
      </c>
      <c r="D1225" s="18">
        <v>45908</v>
      </c>
      <c r="E1225" s="11" t="s">
        <v>1649</v>
      </c>
      <c r="F1225" s="11" t="s">
        <v>1650</v>
      </c>
      <c r="G1225" s="19">
        <v>282600</v>
      </c>
    </row>
    <row r="1226" spans="1:7">
      <c r="A1226" s="11" t="s">
        <v>104</v>
      </c>
      <c r="B1226" s="11" t="s">
        <v>108</v>
      </c>
      <c r="C1226" s="11" t="s">
        <v>12</v>
      </c>
      <c r="D1226" s="18">
        <v>45908</v>
      </c>
      <c r="E1226" s="11" t="s">
        <v>1651</v>
      </c>
      <c r="F1226" s="11" t="s">
        <v>1478</v>
      </c>
      <c r="G1226" s="19">
        <v>9000</v>
      </c>
    </row>
    <row r="1227" spans="1:7">
      <c r="A1227" s="11" t="s">
        <v>173</v>
      </c>
      <c r="B1227" s="11" t="s">
        <v>180</v>
      </c>
      <c r="C1227" s="11" t="s">
        <v>64</v>
      </c>
      <c r="D1227" s="18">
        <v>45908</v>
      </c>
      <c r="E1227" s="11" t="s">
        <v>1652</v>
      </c>
      <c r="F1227" s="11" t="s">
        <v>733</v>
      </c>
      <c r="G1227" s="19">
        <v>265000</v>
      </c>
    </row>
    <row r="1228" spans="1:7">
      <c r="A1228" s="11" t="s">
        <v>144</v>
      </c>
      <c r="B1228" s="11" t="s">
        <v>146</v>
      </c>
      <c r="C1228" s="11" t="s">
        <v>13</v>
      </c>
      <c r="D1228" s="18">
        <v>45908</v>
      </c>
      <c r="E1228" s="11" t="s">
        <v>1653</v>
      </c>
      <c r="F1228" s="11" t="s">
        <v>283</v>
      </c>
      <c r="G1228" s="19">
        <v>51120</v>
      </c>
    </row>
    <row r="1229" spans="1:7">
      <c r="A1229" s="11" t="s">
        <v>173</v>
      </c>
      <c r="B1229" s="11" t="s">
        <v>180</v>
      </c>
      <c r="C1229" s="11" t="s">
        <v>13</v>
      </c>
      <c r="D1229" s="18">
        <v>45908</v>
      </c>
      <c r="E1229" s="11" t="s">
        <v>1654</v>
      </c>
      <c r="F1229" s="11" t="s">
        <v>283</v>
      </c>
      <c r="G1229" s="19">
        <v>270200</v>
      </c>
    </row>
    <row r="1230" spans="1:7">
      <c r="A1230" s="11" t="s">
        <v>173</v>
      </c>
      <c r="B1230" s="11" t="s">
        <v>180</v>
      </c>
      <c r="C1230" s="11" t="s">
        <v>13</v>
      </c>
      <c r="D1230" s="18">
        <v>45908</v>
      </c>
      <c r="E1230" s="11" t="s">
        <v>1655</v>
      </c>
      <c r="F1230" s="11" t="s">
        <v>295</v>
      </c>
      <c r="G1230" s="19">
        <v>304000</v>
      </c>
    </row>
    <row r="1231" spans="1:7">
      <c r="A1231" s="11" t="s">
        <v>173</v>
      </c>
      <c r="B1231" s="11" t="s">
        <v>180</v>
      </c>
      <c r="C1231" s="11" t="s">
        <v>13</v>
      </c>
      <c r="D1231" s="18">
        <v>45908</v>
      </c>
      <c r="E1231" s="11" t="s">
        <v>1656</v>
      </c>
      <c r="F1231" s="11" t="s">
        <v>283</v>
      </c>
      <c r="G1231" s="19">
        <v>839060</v>
      </c>
    </row>
    <row r="1232" spans="1:7">
      <c r="A1232" s="11" t="s">
        <v>104</v>
      </c>
      <c r="B1232" s="11" t="s">
        <v>108</v>
      </c>
      <c r="C1232" s="11" t="s">
        <v>12</v>
      </c>
      <c r="D1232" s="18">
        <v>45908</v>
      </c>
      <c r="E1232" s="11" t="s">
        <v>1657</v>
      </c>
      <c r="F1232" s="11" t="s">
        <v>285</v>
      </c>
      <c r="G1232" s="19">
        <v>9000</v>
      </c>
    </row>
    <row r="1233" spans="1:7">
      <c r="A1233" s="11" t="s">
        <v>104</v>
      </c>
      <c r="B1233" s="11" t="s">
        <v>108</v>
      </c>
      <c r="C1233" s="11" t="s">
        <v>12</v>
      </c>
      <c r="D1233" s="18">
        <v>45908</v>
      </c>
      <c r="E1233" s="11" t="s">
        <v>1658</v>
      </c>
      <c r="F1233" s="11" t="s">
        <v>1478</v>
      </c>
      <c r="G1233" s="19">
        <v>9000</v>
      </c>
    </row>
    <row r="1234" spans="1:7">
      <c r="A1234" s="11" t="s">
        <v>173</v>
      </c>
      <c r="B1234" s="11" t="s">
        <v>180</v>
      </c>
      <c r="C1234" s="11" t="s">
        <v>13</v>
      </c>
      <c r="D1234" s="18">
        <v>45908</v>
      </c>
      <c r="E1234" s="11" t="s">
        <v>1659</v>
      </c>
      <c r="F1234" s="11" t="s">
        <v>1660</v>
      </c>
      <c r="G1234" s="19">
        <v>120000</v>
      </c>
    </row>
    <row r="1235" spans="1:7">
      <c r="A1235" s="11" t="s">
        <v>104</v>
      </c>
      <c r="B1235" s="11" t="s">
        <v>214</v>
      </c>
      <c r="C1235" s="11" t="s">
        <v>14</v>
      </c>
      <c r="D1235" s="18">
        <v>45908</v>
      </c>
      <c r="E1235" s="11" t="s">
        <v>1661</v>
      </c>
      <c r="F1235" s="11" t="s">
        <v>283</v>
      </c>
      <c r="G1235" s="19">
        <v>120360</v>
      </c>
    </row>
    <row r="1236" spans="1:7">
      <c r="A1236" s="11" t="s">
        <v>173</v>
      </c>
      <c r="B1236" s="11" t="s">
        <v>180</v>
      </c>
      <c r="C1236" s="11" t="s">
        <v>13</v>
      </c>
      <c r="D1236" s="18">
        <v>45908</v>
      </c>
      <c r="E1236" s="11" t="s">
        <v>1662</v>
      </c>
      <c r="F1236" s="11" t="s">
        <v>295</v>
      </c>
      <c r="G1236" s="19">
        <v>601200</v>
      </c>
    </row>
    <row r="1237" spans="1:7">
      <c r="A1237" s="11" t="s">
        <v>144</v>
      </c>
      <c r="B1237" s="11" t="s">
        <v>49</v>
      </c>
      <c r="C1237" s="11" t="s">
        <v>50</v>
      </c>
      <c r="D1237" s="18">
        <v>45908</v>
      </c>
      <c r="E1237" s="11" t="s">
        <v>1663</v>
      </c>
      <c r="F1237" s="11" t="s">
        <v>283</v>
      </c>
      <c r="G1237" s="19">
        <v>79940</v>
      </c>
    </row>
    <row r="1238" spans="1:7">
      <c r="A1238" s="11" t="s">
        <v>52</v>
      </c>
      <c r="B1238" s="11" t="s">
        <v>53</v>
      </c>
      <c r="C1238" s="11" t="s">
        <v>13</v>
      </c>
      <c r="D1238" s="18">
        <v>45908</v>
      </c>
      <c r="E1238" s="11" t="s">
        <v>1664</v>
      </c>
      <c r="F1238" s="11" t="s">
        <v>725</v>
      </c>
      <c r="G1238" s="19">
        <v>212970</v>
      </c>
    </row>
    <row r="1239" spans="1:7">
      <c r="A1239" s="11" t="s">
        <v>144</v>
      </c>
      <c r="B1239" s="11" t="s">
        <v>146</v>
      </c>
      <c r="C1239" s="11" t="s">
        <v>13</v>
      </c>
      <c r="D1239" s="18">
        <v>45908</v>
      </c>
      <c r="E1239" s="11" t="s">
        <v>1665</v>
      </c>
      <c r="F1239" s="11" t="s">
        <v>295</v>
      </c>
      <c r="G1239" s="19">
        <v>127700</v>
      </c>
    </row>
    <row r="1240" spans="1:7">
      <c r="A1240" s="11" t="s">
        <v>70</v>
      </c>
      <c r="B1240" s="11" t="s">
        <v>190</v>
      </c>
      <c r="C1240" s="11" t="s">
        <v>14</v>
      </c>
      <c r="D1240" s="18">
        <v>45908</v>
      </c>
      <c r="E1240" s="11" t="s">
        <v>1666</v>
      </c>
      <c r="F1240" s="11" t="s">
        <v>451</v>
      </c>
      <c r="G1240" s="19">
        <v>141000</v>
      </c>
    </row>
    <row r="1241" spans="1:7">
      <c r="A1241" s="11" t="s">
        <v>173</v>
      </c>
      <c r="B1241" s="11" t="s">
        <v>180</v>
      </c>
      <c r="C1241" s="11" t="s">
        <v>13</v>
      </c>
      <c r="D1241" s="18">
        <v>45908</v>
      </c>
      <c r="E1241" s="11" t="s">
        <v>1667</v>
      </c>
      <c r="F1241" s="11" t="s">
        <v>267</v>
      </c>
      <c r="G1241" s="19">
        <v>3199240</v>
      </c>
    </row>
    <row r="1242" spans="1:7">
      <c r="A1242" s="11" t="s">
        <v>87</v>
      </c>
      <c r="B1242" s="11" t="s">
        <v>95</v>
      </c>
      <c r="C1242" s="11" t="s">
        <v>15</v>
      </c>
      <c r="D1242" s="18">
        <v>45908</v>
      </c>
      <c r="E1242" s="11" t="s">
        <v>1668</v>
      </c>
      <c r="F1242" s="11" t="s">
        <v>1669</v>
      </c>
      <c r="G1242" s="19">
        <v>140000</v>
      </c>
    </row>
    <row r="1243" spans="1:7">
      <c r="A1243" s="11" t="s">
        <v>87</v>
      </c>
      <c r="B1243" s="11" t="s">
        <v>95</v>
      </c>
      <c r="C1243" s="11" t="s">
        <v>15</v>
      </c>
      <c r="D1243" s="18">
        <v>45908</v>
      </c>
      <c r="E1243" s="11" t="s">
        <v>1670</v>
      </c>
      <c r="F1243" s="11" t="s">
        <v>468</v>
      </c>
      <c r="G1243" s="19">
        <v>41000</v>
      </c>
    </row>
    <row r="1244" spans="1:7">
      <c r="A1244" s="11" t="s">
        <v>87</v>
      </c>
      <c r="B1244" s="11" t="s">
        <v>95</v>
      </c>
      <c r="C1244" s="11" t="s">
        <v>15</v>
      </c>
      <c r="D1244" s="18">
        <v>45908</v>
      </c>
      <c r="E1244" s="11" t="s">
        <v>1671</v>
      </c>
      <c r="F1244" s="11" t="s">
        <v>1672</v>
      </c>
      <c r="G1244" s="19">
        <v>25000</v>
      </c>
    </row>
    <row r="1245" spans="1:7">
      <c r="A1245" s="11" t="s">
        <v>144</v>
      </c>
      <c r="B1245" s="11" t="s">
        <v>146</v>
      </c>
      <c r="C1245" s="11" t="s">
        <v>13</v>
      </c>
      <c r="D1245" s="18">
        <v>45908</v>
      </c>
      <c r="E1245" s="11" t="s">
        <v>1673</v>
      </c>
      <c r="F1245" s="11" t="s">
        <v>580</v>
      </c>
      <c r="G1245" s="19">
        <v>179640</v>
      </c>
    </row>
    <row r="1246" spans="1:7">
      <c r="A1246" s="11" t="s">
        <v>28</v>
      </c>
      <c r="B1246" s="11" t="s">
        <v>29</v>
      </c>
      <c r="C1246" s="11" t="s">
        <v>14</v>
      </c>
      <c r="D1246" s="18">
        <v>45908</v>
      </c>
      <c r="E1246" s="11" t="s">
        <v>1674</v>
      </c>
      <c r="F1246" s="11" t="s">
        <v>1675</v>
      </c>
      <c r="G1246" s="19">
        <v>240000</v>
      </c>
    </row>
    <row r="1247" spans="1:7">
      <c r="A1247" s="11" t="s">
        <v>144</v>
      </c>
      <c r="B1247" s="11" t="s">
        <v>149</v>
      </c>
      <c r="C1247" s="11" t="s">
        <v>13</v>
      </c>
      <c r="D1247" s="18">
        <v>45908</v>
      </c>
      <c r="E1247" s="11" t="s">
        <v>1676</v>
      </c>
      <c r="F1247" s="11" t="s">
        <v>583</v>
      </c>
      <c r="G1247" s="19">
        <v>487640</v>
      </c>
    </row>
    <row r="1248" spans="1:7">
      <c r="A1248" s="11" t="s">
        <v>144</v>
      </c>
      <c r="B1248" s="11" t="s">
        <v>149</v>
      </c>
      <c r="C1248" s="11" t="s">
        <v>64</v>
      </c>
      <c r="D1248" s="18">
        <v>45908</v>
      </c>
      <c r="E1248" s="11" t="s">
        <v>1677</v>
      </c>
      <c r="F1248" s="11" t="s">
        <v>451</v>
      </c>
      <c r="G1248" s="19">
        <v>96000</v>
      </c>
    </row>
    <row r="1249" spans="1:7">
      <c r="A1249" s="11" t="s">
        <v>83</v>
      </c>
      <c r="B1249" s="11" t="s">
        <v>205</v>
      </c>
      <c r="C1249" s="11" t="s">
        <v>13</v>
      </c>
      <c r="D1249" s="18">
        <v>45908</v>
      </c>
      <c r="E1249" s="11" t="s">
        <v>1678</v>
      </c>
      <c r="F1249" s="11" t="s">
        <v>1679</v>
      </c>
      <c r="G1249" s="19">
        <v>167450</v>
      </c>
    </row>
    <row r="1250" spans="1:7">
      <c r="A1250" s="11" t="s">
        <v>11</v>
      </c>
      <c r="B1250" s="11" t="s">
        <v>115</v>
      </c>
      <c r="C1250" s="11" t="s">
        <v>14</v>
      </c>
      <c r="D1250" s="18">
        <v>45908</v>
      </c>
      <c r="E1250" s="11" t="s">
        <v>1680</v>
      </c>
      <c r="F1250" s="11" t="s">
        <v>1681</v>
      </c>
      <c r="G1250" s="19">
        <v>140000</v>
      </c>
    </row>
    <row r="1251" spans="1:7">
      <c r="A1251" s="11" t="s">
        <v>104</v>
      </c>
      <c r="B1251" s="11" t="s">
        <v>214</v>
      </c>
      <c r="C1251" s="11" t="s">
        <v>14</v>
      </c>
      <c r="D1251" s="18">
        <v>45908</v>
      </c>
      <c r="E1251" s="11" t="s">
        <v>1682</v>
      </c>
      <c r="F1251" s="11" t="s">
        <v>1683</v>
      </c>
      <c r="G1251" s="19">
        <v>234500</v>
      </c>
    </row>
    <row r="1252" spans="1:7">
      <c r="A1252" s="11" t="s">
        <v>173</v>
      </c>
      <c r="B1252" s="11" t="s">
        <v>180</v>
      </c>
      <c r="C1252" s="11" t="s">
        <v>13</v>
      </c>
      <c r="D1252" s="18">
        <v>45908</v>
      </c>
      <c r="E1252" s="11" t="s">
        <v>1684</v>
      </c>
      <c r="F1252" s="11" t="s">
        <v>295</v>
      </c>
      <c r="G1252" s="19">
        <v>100000</v>
      </c>
    </row>
    <row r="1253" spans="1:7">
      <c r="A1253" s="11" t="s">
        <v>144</v>
      </c>
      <c r="B1253" s="11" t="s">
        <v>49</v>
      </c>
      <c r="C1253" s="11" t="s">
        <v>50</v>
      </c>
      <c r="D1253" s="18">
        <v>45908</v>
      </c>
      <c r="E1253" s="11" t="s">
        <v>1685</v>
      </c>
      <c r="F1253" s="11" t="s">
        <v>295</v>
      </c>
      <c r="G1253" s="19">
        <v>455400</v>
      </c>
    </row>
    <row r="1254" spans="1:7">
      <c r="A1254" s="11" t="s">
        <v>28</v>
      </c>
      <c r="B1254" s="11" t="s">
        <v>123</v>
      </c>
      <c r="C1254" s="11" t="s">
        <v>120</v>
      </c>
      <c r="D1254" s="18">
        <v>45908</v>
      </c>
      <c r="E1254" s="11" t="s">
        <v>1686</v>
      </c>
      <c r="F1254" s="11" t="s">
        <v>1603</v>
      </c>
      <c r="G1254" s="19">
        <v>99040</v>
      </c>
    </row>
    <row r="1255" spans="1:7">
      <c r="A1255" s="11" t="s">
        <v>173</v>
      </c>
      <c r="B1255" s="11" t="s">
        <v>180</v>
      </c>
      <c r="C1255" s="11" t="s">
        <v>151</v>
      </c>
      <c r="D1255" s="18">
        <v>45908</v>
      </c>
      <c r="E1255" s="11" t="s">
        <v>1687</v>
      </c>
      <c r="F1255" s="11" t="s">
        <v>502</v>
      </c>
      <c r="G1255" s="19">
        <v>46140</v>
      </c>
    </row>
    <row r="1256" spans="1:7">
      <c r="A1256" s="11" t="s">
        <v>28</v>
      </c>
      <c r="B1256" s="11" t="s">
        <v>125</v>
      </c>
      <c r="C1256" s="11" t="s">
        <v>15</v>
      </c>
      <c r="D1256" s="18">
        <v>45909</v>
      </c>
      <c r="E1256" s="11" t="s">
        <v>1688</v>
      </c>
      <c r="F1256" s="11" t="s">
        <v>319</v>
      </c>
      <c r="G1256" s="19">
        <v>359700</v>
      </c>
    </row>
    <row r="1257" spans="1:7">
      <c r="A1257" s="11" t="s">
        <v>130</v>
      </c>
      <c r="B1257" s="11" t="s">
        <v>37</v>
      </c>
      <c r="C1257" s="11" t="s">
        <v>13</v>
      </c>
      <c r="D1257" s="18">
        <v>45909</v>
      </c>
      <c r="E1257" s="11" t="s">
        <v>1689</v>
      </c>
      <c r="F1257" s="11" t="s">
        <v>306</v>
      </c>
      <c r="G1257" s="19">
        <v>246600</v>
      </c>
    </row>
    <row r="1258" spans="1:7">
      <c r="A1258" s="11" t="s">
        <v>43</v>
      </c>
      <c r="B1258" s="11" t="s">
        <v>141</v>
      </c>
      <c r="C1258" s="11" t="s">
        <v>13</v>
      </c>
      <c r="D1258" s="18">
        <v>45909</v>
      </c>
      <c r="E1258" s="11" t="s">
        <v>1690</v>
      </c>
      <c r="F1258" s="11" t="s">
        <v>1249</v>
      </c>
      <c r="G1258" s="19">
        <v>168000</v>
      </c>
    </row>
    <row r="1259" spans="1:7">
      <c r="A1259" s="11" t="s">
        <v>72</v>
      </c>
      <c r="B1259" s="11" t="s">
        <v>192</v>
      </c>
      <c r="C1259" s="11" t="s">
        <v>25</v>
      </c>
      <c r="D1259" s="18">
        <v>45909</v>
      </c>
      <c r="E1259" s="11" t="s">
        <v>1691</v>
      </c>
      <c r="F1259" s="11" t="s">
        <v>1692</v>
      </c>
      <c r="G1259" s="19">
        <v>260000</v>
      </c>
    </row>
    <row r="1260" spans="1:7">
      <c r="A1260" s="11" t="s">
        <v>22</v>
      </c>
      <c r="B1260" s="11" t="s">
        <v>23</v>
      </c>
      <c r="C1260" s="11" t="s">
        <v>24</v>
      </c>
      <c r="D1260" s="18">
        <v>45910</v>
      </c>
      <c r="E1260" s="11" t="s">
        <v>1693</v>
      </c>
      <c r="F1260" s="11" t="s">
        <v>502</v>
      </c>
      <c r="G1260" s="19">
        <v>1480000</v>
      </c>
    </row>
    <row r="1261" spans="1:7">
      <c r="A1261" s="11" t="s">
        <v>22</v>
      </c>
      <c r="B1261" s="11" t="s">
        <v>119</v>
      </c>
      <c r="C1261" s="11" t="s">
        <v>120</v>
      </c>
      <c r="D1261" s="18">
        <v>45910</v>
      </c>
      <c r="E1261" s="11" t="s">
        <v>1693</v>
      </c>
      <c r="F1261" s="11" t="s">
        <v>502</v>
      </c>
      <c r="G1261" s="19">
        <v>444860</v>
      </c>
    </row>
    <row r="1262" spans="1:7">
      <c r="A1262" s="11" t="s">
        <v>109</v>
      </c>
      <c r="B1262" s="11" t="s">
        <v>215</v>
      </c>
      <c r="C1262" s="11" t="s">
        <v>120</v>
      </c>
      <c r="D1262" s="18">
        <v>45910</v>
      </c>
      <c r="E1262" s="11" t="s">
        <v>1693</v>
      </c>
      <c r="F1262" s="11" t="s">
        <v>502</v>
      </c>
      <c r="G1262" s="19">
        <v>95870</v>
      </c>
    </row>
    <row r="1263" spans="1:7">
      <c r="A1263" s="11" t="s">
        <v>200</v>
      </c>
      <c r="B1263" s="11" t="s">
        <v>201</v>
      </c>
      <c r="C1263" s="11" t="s">
        <v>151</v>
      </c>
      <c r="D1263" s="18">
        <v>45910</v>
      </c>
      <c r="E1263" s="11" t="s">
        <v>1693</v>
      </c>
      <c r="F1263" s="11" t="s">
        <v>502</v>
      </c>
      <c r="G1263" s="19">
        <v>254740</v>
      </c>
    </row>
    <row r="1264" spans="1:7">
      <c r="A1264" s="11" t="s">
        <v>72</v>
      </c>
      <c r="B1264" s="11" t="s">
        <v>192</v>
      </c>
      <c r="C1264" s="11" t="s">
        <v>120</v>
      </c>
      <c r="D1264" s="18">
        <v>45910</v>
      </c>
      <c r="E1264" s="11" t="s">
        <v>1693</v>
      </c>
      <c r="F1264" s="11" t="s">
        <v>502</v>
      </c>
      <c r="G1264" s="19">
        <v>38040</v>
      </c>
    </row>
    <row r="1265" spans="1:7">
      <c r="A1265" s="11" t="s">
        <v>22</v>
      </c>
      <c r="B1265" s="11" t="s">
        <v>121</v>
      </c>
      <c r="C1265" s="11" t="s">
        <v>122</v>
      </c>
      <c r="D1265" s="18">
        <v>45910</v>
      </c>
      <c r="E1265" s="11" t="s">
        <v>1693</v>
      </c>
      <c r="F1265" s="11" t="s">
        <v>502</v>
      </c>
      <c r="G1265" s="19">
        <v>35790</v>
      </c>
    </row>
    <row r="1266" spans="1:7">
      <c r="A1266" s="11" t="s">
        <v>144</v>
      </c>
      <c r="B1266" s="11" t="s">
        <v>147</v>
      </c>
      <c r="C1266" s="11" t="s">
        <v>25</v>
      </c>
      <c r="D1266" s="18">
        <v>45910</v>
      </c>
      <c r="E1266" s="11" t="s">
        <v>1693</v>
      </c>
      <c r="F1266" s="11" t="s">
        <v>502</v>
      </c>
      <c r="G1266" s="19">
        <v>38040</v>
      </c>
    </row>
    <row r="1267" spans="1:7">
      <c r="A1267" s="11" t="s">
        <v>144</v>
      </c>
      <c r="B1267" s="11" t="s">
        <v>150</v>
      </c>
      <c r="C1267" s="11" t="s">
        <v>151</v>
      </c>
      <c r="D1267" s="18">
        <v>45910</v>
      </c>
      <c r="E1267" s="11" t="s">
        <v>1693</v>
      </c>
      <c r="F1267" s="11" t="s">
        <v>502</v>
      </c>
      <c r="G1267" s="19">
        <v>114120</v>
      </c>
    </row>
    <row r="1268" spans="1:7">
      <c r="A1268" s="11" t="s">
        <v>54</v>
      </c>
      <c r="B1268" s="11" t="s">
        <v>158</v>
      </c>
      <c r="C1268" s="11" t="s">
        <v>151</v>
      </c>
      <c r="D1268" s="18">
        <v>45910</v>
      </c>
      <c r="E1268" s="11" t="s">
        <v>1693</v>
      </c>
      <c r="F1268" s="11" t="s">
        <v>502</v>
      </c>
      <c r="G1268" s="19">
        <v>331200</v>
      </c>
    </row>
    <row r="1269" spans="1:7">
      <c r="A1269" s="11" t="s">
        <v>160</v>
      </c>
      <c r="B1269" s="11" t="s">
        <v>161</v>
      </c>
      <c r="C1269" s="11" t="s">
        <v>25</v>
      </c>
      <c r="D1269" s="18">
        <v>45910</v>
      </c>
      <c r="E1269" s="11" t="s">
        <v>1693</v>
      </c>
      <c r="F1269" s="11" t="s">
        <v>502</v>
      </c>
      <c r="G1269" s="19">
        <v>-114700</v>
      </c>
    </row>
    <row r="1270" spans="1:7">
      <c r="A1270" s="11" t="s">
        <v>55</v>
      </c>
      <c r="B1270" s="11" t="s">
        <v>163</v>
      </c>
      <c r="C1270" s="11" t="s">
        <v>151</v>
      </c>
      <c r="D1270" s="18">
        <v>45910</v>
      </c>
      <c r="E1270" s="11" t="s">
        <v>1693</v>
      </c>
      <c r="F1270" s="11" t="s">
        <v>502</v>
      </c>
      <c r="G1270" s="19">
        <v>636710</v>
      </c>
    </row>
    <row r="1271" spans="1:7">
      <c r="A1271" s="11" t="s">
        <v>173</v>
      </c>
      <c r="B1271" s="11" t="s">
        <v>180</v>
      </c>
      <c r="C1271" s="11" t="s">
        <v>151</v>
      </c>
      <c r="D1271" s="18">
        <v>45910</v>
      </c>
      <c r="E1271" s="11" t="s">
        <v>1693</v>
      </c>
      <c r="F1271" s="11" t="s">
        <v>502</v>
      </c>
      <c r="G1271" s="19">
        <v>20280</v>
      </c>
    </row>
    <row r="1272" spans="1:7">
      <c r="A1272" s="11" t="s">
        <v>54</v>
      </c>
      <c r="B1272" s="11" t="s">
        <v>1694</v>
      </c>
      <c r="C1272" s="11" t="s">
        <v>19</v>
      </c>
      <c r="D1272" s="18">
        <v>45910</v>
      </c>
      <c r="E1272" s="11" t="s">
        <v>1695</v>
      </c>
      <c r="F1272" s="11" t="s">
        <v>249</v>
      </c>
      <c r="G1272" s="19">
        <v>400000</v>
      </c>
    </row>
    <row r="1273" spans="1:7">
      <c r="A1273" s="11" t="s">
        <v>54</v>
      </c>
      <c r="B1273" s="11" t="s">
        <v>158</v>
      </c>
      <c r="C1273" s="11" t="s">
        <v>19</v>
      </c>
      <c r="D1273" s="18">
        <v>45910</v>
      </c>
      <c r="E1273" s="11" t="s">
        <v>1695</v>
      </c>
      <c r="F1273" s="11" t="s">
        <v>249</v>
      </c>
      <c r="G1273" s="19">
        <v>400000</v>
      </c>
    </row>
    <row r="1274" spans="1:7">
      <c r="A1274" s="11" t="s">
        <v>144</v>
      </c>
      <c r="B1274" s="11" t="s">
        <v>148</v>
      </c>
      <c r="C1274" s="11" t="s">
        <v>25</v>
      </c>
      <c r="D1274" s="18">
        <v>45910</v>
      </c>
      <c r="E1274" s="11" t="s">
        <v>1696</v>
      </c>
      <c r="F1274" s="11" t="s">
        <v>1364</v>
      </c>
      <c r="G1274" s="19">
        <v>160000</v>
      </c>
    </row>
    <row r="1275" spans="1:7">
      <c r="A1275" s="11" t="s">
        <v>87</v>
      </c>
      <c r="B1275" s="11" t="s">
        <v>95</v>
      </c>
      <c r="C1275" s="11" t="s">
        <v>15</v>
      </c>
      <c r="D1275" s="18">
        <v>45911</v>
      </c>
      <c r="E1275" s="11" t="s">
        <v>1697</v>
      </c>
      <c r="F1275" s="11" t="s">
        <v>1596</v>
      </c>
      <c r="G1275" s="19">
        <v>715000</v>
      </c>
    </row>
    <row r="1276" spans="1:7">
      <c r="A1276" s="11" t="s">
        <v>43</v>
      </c>
      <c r="B1276" s="11" t="s">
        <v>139</v>
      </c>
      <c r="C1276" s="11" t="s">
        <v>15</v>
      </c>
      <c r="D1276" s="18">
        <v>45912</v>
      </c>
      <c r="E1276" s="11" t="s">
        <v>1698</v>
      </c>
      <c r="F1276" s="11" t="s">
        <v>243</v>
      </c>
      <c r="G1276" s="19">
        <v>15560</v>
      </c>
    </row>
    <row r="1277" spans="1:7">
      <c r="A1277" s="11" t="s">
        <v>173</v>
      </c>
      <c r="B1277" s="11" t="s">
        <v>181</v>
      </c>
      <c r="C1277" s="11" t="s">
        <v>15</v>
      </c>
      <c r="D1277" s="18">
        <v>45912</v>
      </c>
      <c r="E1277" s="11" t="s">
        <v>1699</v>
      </c>
      <c r="F1277" s="11" t="s">
        <v>1700</v>
      </c>
      <c r="G1277" s="19">
        <v>330000</v>
      </c>
    </row>
    <row r="1278" spans="1:7">
      <c r="A1278" s="11" t="s">
        <v>104</v>
      </c>
      <c r="B1278" s="11" t="s">
        <v>108</v>
      </c>
      <c r="C1278" s="11" t="s">
        <v>15</v>
      </c>
      <c r="D1278" s="18">
        <v>45915</v>
      </c>
      <c r="E1278" s="11" t="s">
        <v>1701</v>
      </c>
      <c r="F1278" s="11" t="s">
        <v>255</v>
      </c>
      <c r="G1278" s="19">
        <v>33000</v>
      </c>
    </row>
    <row r="1279" spans="1:7">
      <c r="A1279" s="11" t="s">
        <v>62</v>
      </c>
      <c r="B1279" s="11" t="s">
        <v>171</v>
      </c>
      <c r="C1279" s="11" t="s">
        <v>13</v>
      </c>
      <c r="D1279" s="18">
        <v>45916</v>
      </c>
      <c r="E1279" s="11" t="s">
        <v>1702</v>
      </c>
      <c r="F1279" s="11" t="s">
        <v>538</v>
      </c>
      <c r="G1279" s="19">
        <v>11828000</v>
      </c>
    </row>
    <row r="1280" spans="1:7">
      <c r="A1280" s="11" t="s">
        <v>173</v>
      </c>
      <c r="B1280" s="11" t="s">
        <v>182</v>
      </c>
      <c r="C1280" s="11" t="s">
        <v>13</v>
      </c>
      <c r="D1280" s="18">
        <v>45916</v>
      </c>
      <c r="E1280" s="11" t="s">
        <v>1702</v>
      </c>
      <c r="F1280" s="11" t="s">
        <v>538</v>
      </c>
      <c r="G1280" s="19">
        <v>1458000</v>
      </c>
    </row>
    <row r="1281" spans="1:7">
      <c r="A1281" s="11" t="s">
        <v>62</v>
      </c>
      <c r="B1281" s="11" t="s">
        <v>171</v>
      </c>
      <c r="C1281" s="11" t="s">
        <v>13</v>
      </c>
      <c r="D1281" s="18">
        <v>45916</v>
      </c>
      <c r="E1281" s="11" t="s">
        <v>1703</v>
      </c>
      <c r="F1281" s="11" t="s">
        <v>538</v>
      </c>
      <c r="G1281" s="19">
        <v>22359550</v>
      </c>
    </row>
    <row r="1282" spans="1:7">
      <c r="A1282" s="11" t="s">
        <v>173</v>
      </c>
      <c r="B1282" s="11" t="s">
        <v>182</v>
      </c>
      <c r="C1282" s="11" t="s">
        <v>13</v>
      </c>
      <c r="D1282" s="18">
        <v>45916</v>
      </c>
      <c r="E1282" s="11" t="s">
        <v>1703</v>
      </c>
      <c r="F1282" s="11" t="s">
        <v>538</v>
      </c>
      <c r="G1282" s="19">
        <v>1450950</v>
      </c>
    </row>
    <row r="1283" spans="1:7">
      <c r="A1283" s="11" t="s">
        <v>173</v>
      </c>
      <c r="B1283" s="11" t="s">
        <v>182</v>
      </c>
      <c r="C1283" s="11" t="s">
        <v>25</v>
      </c>
      <c r="D1283" s="18">
        <v>45916</v>
      </c>
      <c r="E1283" s="11" t="s">
        <v>1704</v>
      </c>
      <c r="F1283" s="11" t="s">
        <v>538</v>
      </c>
      <c r="G1283" s="19">
        <v>3299710</v>
      </c>
    </row>
    <row r="1284" spans="1:7">
      <c r="A1284" s="11" t="s">
        <v>62</v>
      </c>
      <c r="B1284" s="11" t="s">
        <v>172</v>
      </c>
      <c r="C1284" s="11" t="s">
        <v>25</v>
      </c>
      <c r="D1284" s="18">
        <v>45916</v>
      </c>
      <c r="E1284" s="11" t="s">
        <v>1704</v>
      </c>
      <c r="F1284" s="11" t="s">
        <v>538</v>
      </c>
      <c r="G1284" s="19">
        <v>3116830</v>
      </c>
    </row>
    <row r="1285" spans="1:7">
      <c r="A1285" s="11" t="s">
        <v>62</v>
      </c>
      <c r="B1285" s="11" t="s">
        <v>171</v>
      </c>
      <c r="C1285" s="11" t="s">
        <v>25</v>
      </c>
      <c r="D1285" s="18">
        <v>45916</v>
      </c>
      <c r="E1285" s="11" t="s">
        <v>1704</v>
      </c>
      <c r="F1285" s="11" t="s">
        <v>538</v>
      </c>
      <c r="G1285" s="19">
        <v>29719820</v>
      </c>
    </row>
    <row r="1286" spans="1:7">
      <c r="A1286" s="11" t="s">
        <v>87</v>
      </c>
      <c r="B1286" s="11" t="s">
        <v>89</v>
      </c>
      <c r="C1286" s="11" t="s">
        <v>89</v>
      </c>
      <c r="D1286" s="18">
        <v>45916</v>
      </c>
      <c r="E1286" s="11" t="s">
        <v>1705</v>
      </c>
      <c r="F1286" s="11" t="s">
        <v>382</v>
      </c>
      <c r="G1286" s="19">
        <v>-3081250</v>
      </c>
    </row>
    <row r="1287" spans="1:7">
      <c r="A1287" s="11" t="s">
        <v>87</v>
      </c>
      <c r="B1287" s="11" t="s">
        <v>89</v>
      </c>
      <c r="C1287" s="11" t="s">
        <v>89</v>
      </c>
      <c r="D1287" s="18">
        <v>45916</v>
      </c>
      <c r="E1287" s="11" t="s">
        <v>1706</v>
      </c>
      <c r="F1287" s="11" t="s">
        <v>382</v>
      </c>
      <c r="G1287" s="19">
        <v>-1816270</v>
      </c>
    </row>
    <row r="1288" spans="1:7">
      <c r="A1288" s="11" t="s">
        <v>173</v>
      </c>
      <c r="B1288" s="11" t="s">
        <v>182</v>
      </c>
      <c r="C1288" s="11" t="s">
        <v>15</v>
      </c>
      <c r="D1288" s="18">
        <v>45916</v>
      </c>
      <c r="E1288" s="11" t="s">
        <v>1707</v>
      </c>
      <c r="F1288" s="11" t="s">
        <v>502</v>
      </c>
      <c r="G1288" s="19">
        <v>404360</v>
      </c>
    </row>
    <row r="1289" spans="1:7">
      <c r="A1289" s="11" t="s">
        <v>62</v>
      </c>
      <c r="B1289" s="11" t="s">
        <v>172</v>
      </c>
      <c r="C1289" s="11" t="s">
        <v>15</v>
      </c>
      <c r="D1289" s="18">
        <v>45916</v>
      </c>
      <c r="E1289" s="11" t="s">
        <v>1707</v>
      </c>
      <c r="F1289" s="11" t="s">
        <v>502</v>
      </c>
      <c r="G1289" s="19">
        <v>394640</v>
      </c>
    </row>
    <row r="1290" spans="1:7">
      <c r="A1290" s="11" t="s">
        <v>62</v>
      </c>
      <c r="B1290" s="11" t="s">
        <v>171</v>
      </c>
      <c r="C1290" s="11" t="s">
        <v>15</v>
      </c>
      <c r="D1290" s="18">
        <v>45916</v>
      </c>
      <c r="E1290" s="11" t="s">
        <v>1707</v>
      </c>
      <c r="F1290" s="11" t="s">
        <v>502</v>
      </c>
      <c r="G1290" s="19">
        <v>4098520</v>
      </c>
    </row>
    <row r="1291" spans="1:7">
      <c r="A1291" s="11" t="s">
        <v>28</v>
      </c>
      <c r="B1291" s="11" t="s">
        <v>123</v>
      </c>
      <c r="C1291" s="11" t="s">
        <v>120</v>
      </c>
      <c r="D1291" s="18">
        <v>45916</v>
      </c>
      <c r="E1291" s="11" t="s">
        <v>1708</v>
      </c>
      <c r="F1291" s="11" t="s">
        <v>1603</v>
      </c>
      <c r="G1291" s="19">
        <v>495160</v>
      </c>
    </row>
    <row r="1292" spans="1:7">
      <c r="A1292" s="11" t="s">
        <v>104</v>
      </c>
      <c r="B1292" s="11" t="s">
        <v>108</v>
      </c>
      <c r="C1292" s="11" t="s">
        <v>44</v>
      </c>
      <c r="D1292" s="18">
        <v>45916</v>
      </c>
      <c r="E1292" s="11" t="s">
        <v>1709</v>
      </c>
      <c r="F1292" s="11" t="s">
        <v>1710</v>
      </c>
      <c r="G1292" s="19">
        <v>12500</v>
      </c>
    </row>
    <row r="1293" spans="1:7">
      <c r="A1293" s="11" t="s">
        <v>55</v>
      </c>
      <c r="B1293" s="11" t="s">
        <v>165</v>
      </c>
      <c r="C1293" s="11" t="s">
        <v>44</v>
      </c>
      <c r="D1293" s="18">
        <v>45916</v>
      </c>
      <c r="E1293" s="11" t="s">
        <v>1711</v>
      </c>
      <c r="F1293" s="11" t="s">
        <v>1258</v>
      </c>
      <c r="G1293" s="19">
        <v>20000</v>
      </c>
    </row>
    <row r="1294" spans="1:7">
      <c r="A1294" s="11" t="s">
        <v>200</v>
      </c>
      <c r="B1294" s="11" t="s">
        <v>201</v>
      </c>
      <c r="C1294" s="11" t="s">
        <v>44</v>
      </c>
      <c r="D1294" s="18">
        <v>45916</v>
      </c>
      <c r="E1294" s="11" t="s">
        <v>1711</v>
      </c>
      <c r="F1294" s="11" t="s">
        <v>368</v>
      </c>
      <c r="G1294" s="19">
        <v>40000</v>
      </c>
    </row>
    <row r="1295" spans="1:7">
      <c r="A1295" s="11" t="s">
        <v>43</v>
      </c>
      <c r="B1295" s="11" t="s">
        <v>139</v>
      </c>
      <c r="C1295" s="11" t="s">
        <v>44</v>
      </c>
      <c r="D1295" s="18">
        <v>45916</v>
      </c>
      <c r="E1295" s="11" t="s">
        <v>1711</v>
      </c>
      <c r="F1295" s="11" t="s">
        <v>1712</v>
      </c>
      <c r="G1295" s="19">
        <v>40000</v>
      </c>
    </row>
    <row r="1296" spans="1:7">
      <c r="A1296" s="11" t="s">
        <v>104</v>
      </c>
      <c r="B1296" s="11" t="s">
        <v>108</v>
      </c>
      <c r="C1296" s="11" t="s">
        <v>44</v>
      </c>
      <c r="D1296" s="18">
        <v>45916</v>
      </c>
      <c r="E1296" s="11" t="s">
        <v>1711</v>
      </c>
      <c r="F1296" s="11" t="s">
        <v>1713</v>
      </c>
      <c r="G1296" s="19">
        <v>180000</v>
      </c>
    </row>
    <row r="1297" spans="1:7">
      <c r="A1297" s="11" t="s">
        <v>28</v>
      </c>
      <c r="B1297" s="11" t="s">
        <v>29</v>
      </c>
      <c r="C1297" s="11" t="s">
        <v>15</v>
      </c>
      <c r="D1297" s="18">
        <v>45916</v>
      </c>
      <c r="E1297" s="11" t="s">
        <v>1714</v>
      </c>
      <c r="F1297" s="11" t="s">
        <v>1715</v>
      </c>
      <c r="G1297" s="19">
        <v>10000</v>
      </c>
    </row>
    <row r="1298" spans="1:7">
      <c r="A1298" s="11" t="s">
        <v>28</v>
      </c>
      <c r="B1298" s="11" t="s">
        <v>29</v>
      </c>
      <c r="C1298" s="11" t="s">
        <v>15</v>
      </c>
      <c r="D1298" s="18">
        <v>45916</v>
      </c>
      <c r="E1298" s="11" t="s">
        <v>1716</v>
      </c>
      <c r="F1298" s="11" t="s">
        <v>1717</v>
      </c>
      <c r="G1298" s="19">
        <v>70000</v>
      </c>
    </row>
    <row r="1299" spans="1:7">
      <c r="A1299" s="11" t="s">
        <v>130</v>
      </c>
      <c r="B1299" s="11" t="s">
        <v>37</v>
      </c>
      <c r="C1299" s="11" t="s">
        <v>13</v>
      </c>
      <c r="D1299" s="18">
        <v>45916</v>
      </c>
      <c r="E1299" s="11" t="s">
        <v>1718</v>
      </c>
      <c r="F1299" s="11" t="s">
        <v>998</v>
      </c>
      <c r="G1299" s="19">
        <v>720000</v>
      </c>
    </row>
    <row r="1300" spans="1:7">
      <c r="A1300" s="11" t="s">
        <v>43</v>
      </c>
      <c r="B1300" s="11" t="s">
        <v>141</v>
      </c>
      <c r="C1300" s="11" t="s">
        <v>13</v>
      </c>
      <c r="D1300" s="18">
        <v>45916</v>
      </c>
      <c r="E1300" s="11" t="s">
        <v>1719</v>
      </c>
      <c r="F1300" s="11" t="s">
        <v>1720</v>
      </c>
      <c r="G1300" s="19">
        <v>425000</v>
      </c>
    </row>
    <row r="1301" spans="1:7">
      <c r="A1301" s="11" t="s">
        <v>54</v>
      </c>
      <c r="B1301" s="11" t="s">
        <v>1721</v>
      </c>
      <c r="C1301" s="11" t="s">
        <v>120</v>
      </c>
      <c r="D1301" s="18">
        <v>45917</v>
      </c>
      <c r="E1301" s="11" t="s">
        <v>1722</v>
      </c>
      <c r="F1301" s="11" t="s">
        <v>249</v>
      </c>
      <c r="G1301" s="19">
        <v>120000</v>
      </c>
    </row>
    <row r="1302" spans="1:7">
      <c r="A1302" s="11" t="s">
        <v>54</v>
      </c>
      <c r="B1302" s="11" t="s">
        <v>1694</v>
      </c>
      <c r="C1302" s="11" t="s">
        <v>120</v>
      </c>
      <c r="D1302" s="18">
        <v>45917</v>
      </c>
      <c r="E1302" s="11" t="s">
        <v>1722</v>
      </c>
      <c r="F1302" s="11" t="s">
        <v>249</v>
      </c>
      <c r="G1302" s="19">
        <v>2416000</v>
      </c>
    </row>
    <row r="1303" spans="1:7">
      <c r="A1303" s="11" t="s">
        <v>200</v>
      </c>
      <c r="B1303" s="11" t="s">
        <v>202</v>
      </c>
      <c r="C1303" s="11" t="s">
        <v>25</v>
      </c>
      <c r="D1303" s="18">
        <v>45917</v>
      </c>
      <c r="E1303" s="11" t="s">
        <v>1723</v>
      </c>
      <c r="F1303" s="11" t="s">
        <v>669</v>
      </c>
      <c r="G1303" s="19">
        <v>780000</v>
      </c>
    </row>
    <row r="1304" spans="1:7">
      <c r="A1304" s="11" t="s">
        <v>28</v>
      </c>
      <c r="B1304" s="11" t="s">
        <v>123</v>
      </c>
      <c r="C1304" s="11" t="s">
        <v>120</v>
      </c>
      <c r="D1304" s="18">
        <v>45917</v>
      </c>
      <c r="E1304" s="11" t="s">
        <v>1724</v>
      </c>
      <c r="F1304" s="11" t="s">
        <v>1710</v>
      </c>
      <c r="G1304" s="19">
        <v>1109120</v>
      </c>
    </row>
    <row r="1305" spans="1:7">
      <c r="A1305" s="11" t="s">
        <v>75</v>
      </c>
      <c r="B1305" s="11" t="s">
        <v>76</v>
      </c>
      <c r="C1305" s="11" t="s">
        <v>13</v>
      </c>
      <c r="D1305" s="18">
        <v>45918</v>
      </c>
      <c r="E1305" s="11" t="s">
        <v>1725</v>
      </c>
      <c r="F1305" s="11" t="s">
        <v>225</v>
      </c>
      <c r="G1305" s="19">
        <v>330000</v>
      </c>
    </row>
    <row r="1306" spans="1:7">
      <c r="A1306" s="11" t="s">
        <v>43</v>
      </c>
      <c r="B1306" s="11" t="s">
        <v>139</v>
      </c>
      <c r="C1306" s="11" t="s">
        <v>25</v>
      </c>
      <c r="D1306" s="18">
        <v>45918</v>
      </c>
      <c r="E1306" s="11" t="s">
        <v>1726</v>
      </c>
      <c r="F1306" s="11" t="s">
        <v>1727</v>
      </c>
      <c r="G1306" s="19">
        <v>860000</v>
      </c>
    </row>
    <row r="1307" spans="1:7">
      <c r="A1307" s="11" t="s">
        <v>87</v>
      </c>
      <c r="B1307" s="11" t="s">
        <v>94</v>
      </c>
      <c r="C1307" s="11" t="s">
        <v>15</v>
      </c>
      <c r="D1307" s="18">
        <v>45922</v>
      </c>
      <c r="E1307" s="11" t="s">
        <v>1728</v>
      </c>
      <c r="F1307" s="11" t="s">
        <v>257</v>
      </c>
      <c r="G1307" s="19">
        <v>407000</v>
      </c>
    </row>
    <row r="1308" spans="1:7">
      <c r="A1308" s="11" t="s">
        <v>87</v>
      </c>
      <c r="B1308" s="11" t="s">
        <v>88</v>
      </c>
      <c r="C1308" s="11" t="s">
        <v>92</v>
      </c>
      <c r="D1308" s="18">
        <v>45922</v>
      </c>
      <c r="E1308" s="11" t="s">
        <v>1729</v>
      </c>
      <c r="F1308" s="11" t="s">
        <v>224</v>
      </c>
      <c r="G1308" s="19">
        <v>11320</v>
      </c>
    </row>
    <row r="1309" spans="1:7">
      <c r="A1309" s="11" t="s">
        <v>173</v>
      </c>
      <c r="B1309" s="11" t="s">
        <v>180</v>
      </c>
      <c r="C1309" s="11" t="s">
        <v>25</v>
      </c>
      <c r="D1309" s="18">
        <v>45922</v>
      </c>
      <c r="E1309" s="11" t="s">
        <v>1730</v>
      </c>
      <c r="F1309" s="11" t="s">
        <v>1731</v>
      </c>
      <c r="G1309" s="19">
        <v>80000</v>
      </c>
    </row>
    <row r="1310" spans="1:7">
      <c r="A1310" s="11" t="s">
        <v>72</v>
      </c>
      <c r="B1310" s="11" t="s">
        <v>192</v>
      </c>
      <c r="C1310" s="11" t="s">
        <v>25</v>
      </c>
      <c r="D1310" s="18">
        <v>45922</v>
      </c>
      <c r="E1310" s="11" t="s">
        <v>1732</v>
      </c>
      <c r="F1310" s="11" t="s">
        <v>1733</v>
      </c>
      <c r="G1310" s="19">
        <v>60000</v>
      </c>
    </row>
    <row r="1311" spans="1:7">
      <c r="A1311" s="11" t="s">
        <v>72</v>
      </c>
      <c r="B1311" s="11" t="s">
        <v>192</v>
      </c>
      <c r="C1311" s="11" t="s">
        <v>25</v>
      </c>
      <c r="D1311" s="18">
        <v>45922</v>
      </c>
      <c r="E1311" s="11" t="s">
        <v>1734</v>
      </c>
      <c r="F1311" s="11" t="s">
        <v>1735</v>
      </c>
      <c r="G1311" s="19">
        <v>150000</v>
      </c>
    </row>
    <row r="1312" spans="1:7">
      <c r="A1312" s="11" t="s">
        <v>130</v>
      </c>
      <c r="B1312" s="11" t="s">
        <v>36</v>
      </c>
      <c r="C1312" s="11" t="s">
        <v>34</v>
      </c>
      <c r="D1312" s="18">
        <v>45922</v>
      </c>
      <c r="E1312" s="11" t="s">
        <v>1736</v>
      </c>
      <c r="F1312" s="11" t="s">
        <v>977</v>
      </c>
      <c r="G1312" s="19">
        <v>481750</v>
      </c>
    </row>
    <row r="1313" spans="1:7">
      <c r="A1313" s="11" t="s">
        <v>144</v>
      </c>
      <c r="B1313" s="11" t="s">
        <v>146</v>
      </c>
      <c r="C1313" s="11" t="s">
        <v>13</v>
      </c>
      <c r="D1313" s="18">
        <v>45922</v>
      </c>
      <c r="E1313" s="11" t="s">
        <v>1737</v>
      </c>
      <c r="F1313" s="11" t="s">
        <v>558</v>
      </c>
      <c r="G1313" s="19">
        <v>125540</v>
      </c>
    </row>
    <row r="1314" spans="1:7">
      <c r="A1314" s="11" t="s">
        <v>87</v>
      </c>
      <c r="B1314" s="11" t="s">
        <v>95</v>
      </c>
      <c r="C1314" s="11" t="s">
        <v>15</v>
      </c>
      <c r="D1314" s="18">
        <v>45922</v>
      </c>
      <c r="E1314" s="11" t="s">
        <v>1738</v>
      </c>
      <c r="F1314" s="11" t="s">
        <v>283</v>
      </c>
      <c r="G1314" s="19">
        <v>186000</v>
      </c>
    </row>
    <row r="1315" spans="1:7">
      <c r="A1315" s="11" t="s">
        <v>43</v>
      </c>
      <c r="B1315" s="11" t="s">
        <v>139</v>
      </c>
      <c r="C1315" s="11" t="s">
        <v>13</v>
      </c>
      <c r="D1315" s="18">
        <v>45922</v>
      </c>
      <c r="E1315" s="11" t="s">
        <v>1739</v>
      </c>
      <c r="F1315" s="11" t="s">
        <v>295</v>
      </c>
      <c r="G1315" s="19">
        <v>22400</v>
      </c>
    </row>
    <row r="1316" spans="1:7">
      <c r="A1316" s="11" t="s">
        <v>11</v>
      </c>
      <c r="B1316" s="11" t="s">
        <v>115</v>
      </c>
      <c r="C1316" s="11" t="s">
        <v>14</v>
      </c>
      <c r="D1316" s="18">
        <v>45922</v>
      </c>
      <c r="E1316" s="11" t="s">
        <v>1740</v>
      </c>
      <c r="F1316" s="11" t="s">
        <v>1462</v>
      </c>
      <c r="G1316" s="19">
        <v>50000</v>
      </c>
    </row>
    <row r="1317" spans="1:7">
      <c r="A1317" s="11" t="s">
        <v>87</v>
      </c>
      <c r="B1317" s="11" t="s">
        <v>96</v>
      </c>
      <c r="C1317" s="11" t="s">
        <v>15</v>
      </c>
      <c r="D1317" s="18">
        <v>45922</v>
      </c>
      <c r="E1317" s="11" t="s">
        <v>1741</v>
      </c>
      <c r="F1317" s="11" t="s">
        <v>313</v>
      </c>
      <c r="G1317" s="19">
        <v>390000</v>
      </c>
    </row>
    <row r="1318" spans="1:7">
      <c r="A1318" s="11" t="s">
        <v>55</v>
      </c>
      <c r="B1318" s="11" t="s">
        <v>165</v>
      </c>
      <c r="C1318" s="11" t="s">
        <v>13</v>
      </c>
      <c r="D1318" s="18">
        <v>45922</v>
      </c>
      <c r="E1318" s="11" t="s">
        <v>1742</v>
      </c>
      <c r="F1318" s="11" t="s">
        <v>826</v>
      </c>
      <c r="G1318" s="19">
        <v>196000</v>
      </c>
    </row>
    <row r="1319" spans="1:7">
      <c r="A1319" s="11" t="s">
        <v>43</v>
      </c>
      <c r="B1319" s="11" t="s">
        <v>139</v>
      </c>
      <c r="C1319" s="11" t="s">
        <v>13</v>
      </c>
      <c r="D1319" s="18">
        <v>45922</v>
      </c>
      <c r="E1319" s="11" t="s">
        <v>1743</v>
      </c>
      <c r="F1319" s="11" t="s">
        <v>728</v>
      </c>
      <c r="G1319" s="19">
        <v>45000</v>
      </c>
    </row>
    <row r="1320" spans="1:7">
      <c r="A1320" s="11" t="s">
        <v>43</v>
      </c>
      <c r="B1320" s="11" t="s">
        <v>139</v>
      </c>
      <c r="C1320" s="11" t="s">
        <v>15</v>
      </c>
      <c r="D1320" s="18">
        <v>45922</v>
      </c>
      <c r="E1320" s="11" t="s">
        <v>1744</v>
      </c>
      <c r="F1320" s="11" t="s">
        <v>283</v>
      </c>
      <c r="G1320" s="19">
        <v>143110</v>
      </c>
    </row>
    <row r="1321" spans="1:7">
      <c r="A1321" s="11" t="s">
        <v>11</v>
      </c>
      <c r="B1321" s="11" t="s">
        <v>115</v>
      </c>
      <c r="C1321" s="11" t="s">
        <v>14</v>
      </c>
      <c r="D1321" s="18">
        <v>45922</v>
      </c>
      <c r="E1321" s="11" t="s">
        <v>1745</v>
      </c>
      <c r="F1321" s="11" t="s">
        <v>600</v>
      </c>
      <c r="G1321" s="19">
        <v>26400</v>
      </c>
    </row>
    <row r="1322" spans="1:7">
      <c r="A1322" s="11" t="s">
        <v>87</v>
      </c>
      <c r="B1322" s="11" t="s">
        <v>88</v>
      </c>
      <c r="C1322" s="11" t="s">
        <v>92</v>
      </c>
      <c r="D1322" s="18">
        <v>45922</v>
      </c>
      <c r="E1322" s="11" t="s">
        <v>1746</v>
      </c>
      <c r="F1322" s="11" t="s">
        <v>821</v>
      </c>
      <c r="G1322" s="19">
        <v>4280</v>
      </c>
    </row>
    <row r="1323" spans="1:7">
      <c r="A1323" s="11" t="s">
        <v>173</v>
      </c>
      <c r="B1323" s="11" t="s">
        <v>180</v>
      </c>
      <c r="C1323" s="11" t="s">
        <v>13</v>
      </c>
      <c r="D1323" s="18">
        <v>45922</v>
      </c>
      <c r="E1323" s="11" t="s">
        <v>1747</v>
      </c>
      <c r="F1323" s="11" t="s">
        <v>283</v>
      </c>
      <c r="G1323" s="19">
        <v>186140</v>
      </c>
    </row>
    <row r="1324" spans="1:7">
      <c r="A1324" s="11" t="s">
        <v>144</v>
      </c>
      <c r="B1324" s="11" t="s">
        <v>146</v>
      </c>
      <c r="C1324" s="11" t="s">
        <v>13</v>
      </c>
      <c r="D1324" s="18">
        <v>45922</v>
      </c>
      <c r="E1324" s="11" t="s">
        <v>1748</v>
      </c>
      <c r="F1324" s="11" t="s">
        <v>1309</v>
      </c>
      <c r="G1324" s="19">
        <v>396580</v>
      </c>
    </row>
    <row r="1325" spans="1:7">
      <c r="A1325" s="11" t="s">
        <v>104</v>
      </c>
      <c r="B1325" s="11" t="s">
        <v>108</v>
      </c>
      <c r="C1325" s="11" t="s">
        <v>31</v>
      </c>
      <c r="D1325" s="18">
        <v>45922</v>
      </c>
      <c r="E1325" s="11" t="s">
        <v>1749</v>
      </c>
      <c r="F1325" s="11" t="s">
        <v>1750</v>
      </c>
      <c r="G1325" s="19">
        <v>580000</v>
      </c>
    </row>
    <row r="1326" spans="1:7">
      <c r="A1326" s="11" t="s">
        <v>144</v>
      </c>
      <c r="B1326" s="11" t="s">
        <v>146</v>
      </c>
      <c r="C1326" s="11" t="s">
        <v>13</v>
      </c>
      <c r="D1326" s="18">
        <v>45922</v>
      </c>
      <c r="E1326" s="11" t="s">
        <v>1751</v>
      </c>
      <c r="F1326" s="11" t="s">
        <v>295</v>
      </c>
      <c r="G1326" s="19">
        <v>72000</v>
      </c>
    </row>
    <row r="1327" spans="1:7">
      <c r="A1327" s="11" t="s">
        <v>87</v>
      </c>
      <c r="B1327" s="11" t="s">
        <v>95</v>
      </c>
      <c r="C1327" s="11" t="s">
        <v>15</v>
      </c>
      <c r="D1327" s="18">
        <v>45922</v>
      </c>
      <c r="E1327" s="11" t="s">
        <v>1752</v>
      </c>
      <c r="F1327" s="11" t="s">
        <v>283</v>
      </c>
      <c r="G1327" s="19">
        <v>172240</v>
      </c>
    </row>
    <row r="1328" spans="1:7">
      <c r="A1328" s="11" t="s">
        <v>144</v>
      </c>
      <c r="B1328" s="11" t="s">
        <v>146</v>
      </c>
      <c r="C1328" s="11" t="s">
        <v>13</v>
      </c>
      <c r="D1328" s="18">
        <v>45922</v>
      </c>
      <c r="E1328" s="11" t="s">
        <v>1753</v>
      </c>
      <c r="F1328" s="11" t="s">
        <v>283</v>
      </c>
      <c r="G1328" s="19">
        <v>20000</v>
      </c>
    </row>
    <row r="1329" spans="1:7">
      <c r="A1329" s="11" t="s">
        <v>104</v>
      </c>
      <c r="B1329" s="11" t="s">
        <v>108</v>
      </c>
      <c r="C1329" s="11" t="s">
        <v>12</v>
      </c>
      <c r="D1329" s="18">
        <v>45922</v>
      </c>
      <c r="E1329" s="11" t="s">
        <v>1754</v>
      </c>
      <c r="F1329" s="11" t="s">
        <v>285</v>
      </c>
      <c r="G1329" s="19">
        <v>9000</v>
      </c>
    </row>
    <row r="1330" spans="1:7">
      <c r="A1330" s="11" t="s">
        <v>65</v>
      </c>
      <c r="B1330" s="11" t="s">
        <v>67</v>
      </c>
      <c r="C1330" s="11" t="s">
        <v>14</v>
      </c>
      <c r="D1330" s="18">
        <v>45922</v>
      </c>
      <c r="E1330" s="11" t="s">
        <v>1755</v>
      </c>
      <c r="F1330" s="11" t="s">
        <v>558</v>
      </c>
      <c r="G1330" s="19">
        <v>55060</v>
      </c>
    </row>
    <row r="1331" spans="1:7">
      <c r="A1331" s="11" t="s">
        <v>144</v>
      </c>
      <c r="B1331" s="11" t="s">
        <v>146</v>
      </c>
      <c r="C1331" s="11" t="s">
        <v>13</v>
      </c>
      <c r="D1331" s="18">
        <v>45922</v>
      </c>
      <c r="E1331" s="11" t="s">
        <v>1756</v>
      </c>
      <c r="F1331" s="11" t="s">
        <v>295</v>
      </c>
      <c r="G1331" s="19">
        <v>8500</v>
      </c>
    </row>
    <row r="1332" spans="1:7">
      <c r="A1332" s="11" t="s">
        <v>104</v>
      </c>
      <c r="B1332" s="11" t="s">
        <v>108</v>
      </c>
      <c r="C1332" s="11" t="s">
        <v>12</v>
      </c>
      <c r="D1332" s="18">
        <v>45922</v>
      </c>
      <c r="E1332" s="11" t="s">
        <v>1757</v>
      </c>
      <c r="F1332" s="11" t="s">
        <v>285</v>
      </c>
      <c r="G1332" s="19">
        <v>9000</v>
      </c>
    </row>
    <row r="1333" spans="1:7">
      <c r="A1333" s="11" t="s">
        <v>55</v>
      </c>
      <c r="B1333" s="11" t="s">
        <v>165</v>
      </c>
      <c r="C1333" s="11" t="s">
        <v>13</v>
      </c>
      <c r="D1333" s="18">
        <v>45922</v>
      </c>
      <c r="E1333" s="11" t="s">
        <v>1758</v>
      </c>
      <c r="F1333" s="11" t="s">
        <v>1468</v>
      </c>
      <c r="G1333" s="19">
        <v>150000</v>
      </c>
    </row>
    <row r="1334" spans="1:7">
      <c r="A1334" s="11" t="s">
        <v>144</v>
      </c>
      <c r="B1334" s="11" t="s">
        <v>146</v>
      </c>
      <c r="C1334" s="11" t="s">
        <v>13</v>
      </c>
      <c r="D1334" s="18">
        <v>45922</v>
      </c>
      <c r="E1334" s="11" t="s">
        <v>1759</v>
      </c>
      <c r="F1334" s="11" t="s">
        <v>583</v>
      </c>
      <c r="G1334" s="19">
        <v>222400</v>
      </c>
    </row>
    <row r="1335" spans="1:7">
      <c r="A1335" s="11" t="s">
        <v>144</v>
      </c>
      <c r="B1335" s="11" t="s">
        <v>146</v>
      </c>
      <c r="C1335" s="11" t="s">
        <v>13</v>
      </c>
      <c r="D1335" s="18">
        <v>45922</v>
      </c>
      <c r="E1335" s="11" t="s">
        <v>1760</v>
      </c>
      <c r="F1335" s="11" t="s">
        <v>295</v>
      </c>
      <c r="G1335" s="19">
        <v>249240</v>
      </c>
    </row>
    <row r="1336" spans="1:7">
      <c r="A1336" s="11" t="s">
        <v>173</v>
      </c>
      <c r="B1336" s="11" t="s">
        <v>181</v>
      </c>
      <c r="C1336" s="11" t="s">
        <v>15</v>
      </c>
      <c r="D1336" s="18">
        <v>45922</v>
      </c>
      <c r="E1336" s="11" t="s">
        <v>1761</v>
      </c>
      <c r="F1336" s="11" t="s">
        <v>283</v>
      </c>
      <c r="G1336" s="19">
        <v>432000</v>
      </c>
    </row>
    <row r="1337" spans="1:7">
      <c r="A1337" s="11" t="s">
        <v>173</v>
      </c>
      <c r="B1337" s="11" t="s">
        <v>180</v>
      </c>
      <c r="C1337" s="11" t="s">
        <v>13</v>
      </c>
      <c r="D1337" s="18">
        <v>45922</v>
      </c>
      <c r="E1337" s="11" t="s">
        <v>1762</v>
      </c>
      <c r="F1337" s="11" t="s">
        <v>295</v>
      </c>
      <c r="G1337" s="19">
        <v>51860</v>
      </c>
    </row>
    <row r="1338" spans="1:7">
      <c r="A1338" s="11" t="s">
        <v>144</v>
      </c>
      <c r="B1338" s="11" t="s">
        <v>146</v>
      </c>
      <c r="C1338" s="11" t="s">
        <v>13</v>
      </c>
      <c r="D1338" s="18">
        <v>45922</v>
      </c>
      <c r="E1338" s="11" t="s">
        <v>1763</v>
      </c>
      <c r="F1338" s="11" t="s">
        <v>583</v>
      </c>
      <c r="G1338" s="19">
        <v>177000</v>
      </c>
    </row>
    <row r="1339" spans="1:7">
      <c r="A1339" s="11" t="s">
        <v>144</v>
      </c>
      <c r="B1339" s="11" t="s">
        <v>49</v>
      </c>
      <c r="C1339" s="11" t="s">
        <v>50</v>
      </c>
      <c r="D1339" s="18">
        <v>45922</v>
      </c>
      <c r="E1339" s="11" t="s">
        <v>1764</v>
      </c>
      <c r="F1339" s="11" t="s">
        <v>586</v>
      </c>
      <c r="G1339" s="19">
        <v>1738780</v>
      </c>
    </row>
    <row r="1340" spans="1:7">
      <c r="A1340" s="11" t="s">
        <v>104</v>
      </c>
      <c r="B1340" s="11" t="s">
        <v>108</v>
      </c>
      <c r="C1340" s="11" t="s">
        <v>12</v>
      </c>
      <c r="D1340" s="18">
        <v>45922</v>
      </c>
      <c r="E1340" s="11" t="s">
        <v>1765</v>
      </c>
      <c r="F1340" s="11" t="s">
        <v>285</v>
      </c>
      <c r="G1340" s="19">
        <v>9000</v>
      </c>
    </row>
    <row r="1341" spans="1:7">
      <c r="A1341" s="11" t="s">
        <v>173</v>
      </c>
      <c r="B1341" s="11" t="s">
        <v>180</v>
      </c>
      <c r="C1341" s="11" t="s">
        <v>13</v>
      </c>
      <c r="D1341" s="18">
        <v>45922</v>
      </c>
      <c r="E1341" s="11" t="s">
        <v>1766</v>
      </c>
      <c r="F1341" s="11" t="s">
        <v>267</v>
      </c>
      <c r="G1341" s="19">
        <v>1808800</v>
      </c>
    </row>
    <row r="1342" spans="1:7">
      <c r="A1342" s="11" t="s">
        <v>75</v>
      </c>
      <c r="B1342" s="11" t="s">
        <v>76</v>
      </c>
      <c r="C1342" s="11" t="s">
        <v>13</v>
      </c>
      <c r="D1342" s="18">
        <v>45922</v>
      </c>
      <c r="E1342" s="11" t="s">
        <v>1767</v>
      </c>
      <c r="F1342" s="11" t="s">
        <v>1768</v>
      </c>
      <c r="G1342" s="19">
        <v>891000</v>
      </c>
    </row>
    <row r="1343" spans="1:7">
      <c r="A1343" s="11" t="s">
        <v>55</v>
      </c>
      <c r="B1343" s="11" t="s">
        <v>165</v>
      </c>
      <c r="C1343" s="11" t="s">
        <v>13</v>
      </c>
      <c r="D1343" s="18">
        <v>45922</v>
      </c>
      <c r="E1343" s="11" t="s">
        <v>1769</v>
      </c>
      <c r="F1343" s="11" t="s">
        <v>580</v>
      </c>
      <c r="G1343" s="19">
        <v>237600</v>
      </c>
    </row>
    <row r="1344" spans="1:7">
      <c r="A1344" s="11" t="s">
        <v>104</v>
      </c>
      <c r="B1344" s="11" t="s">
        <v>105</v>
      </c>
      <c r="C1344" s="11" t="s">
        <v>14</v>
      </c>
      <c r="D1344" s="18">
        <v>45922</v>
      </c>
      <c r="E1344" s="11" t="s">
        <v>1770</v>
      </c>
      <c r="F1344" s="11" t="s">
        <v>283</v>
      </c>
      <c r="G1344" s="19">
        <v>184400</v>
      </c>
    </row>
    <row r="1345" spans="1:7">
      <c r="A1345" s="11" t="s">
        <v>104</v>
      </c>
      <c r="B1345" s="11" t="s">
        <v>108</v>
      </c>
      <c r="C1345" s="11" t="s">
        <v>12</v>
      </c>
      <c r="D1345" s="18">
        <v>45922</v>
      </c>
      <c r="E1345" s="11" t="s">
        <v>1771</v>
      </c>
      <c r="F1345" s="11" t="s">
        <v>1478</v>
      </c>
      <c r="G1345" s="19">
        <v>9000</v>
      </c>
    </row>
    <row r="1346" spans="1:7">
      <c r="A1346" s="11" t="s">
        <v>72</v>
      </c>
      <c r="B1346" s="11" t="s">
        <v>192</v>
      </c>
      <c r="C1346" s="11" t="s">
        <v>34</v>
      </c>
      <c r="D1346" s="18">
        <v>45922</v>
      </c>
      <c r="E1346" s="11" t="s">
        <v>1772</v>
      </c>
      <c r="F1346" s="11" t="s">
        <v>555</v>
      </c>
      <c r="G1346" s="19">
        <v>27800</v>
      </c>
    </row>
    <row r="1347" spans="1:7">
      <c r="A1347" s="11" t="s">
        <v>144</v>
      </c>
      <c r="B1347" s="11" t="s">
        <v>146</v>
      </c>
      <c r="C1347" s="11" t="s">
        <v>13</v>
      </c>
      <c r="D1347" s="18">
        <v>45922</v>
      </c>
      <c r="E1347" s="11" t="s">
        <v>1773</v>
      </c>
      <c r="F1347" s="11" t="s">
        <v>586</v>
      </c>
      <c r="G1347" s="19">
        <v>917060</v>
      </c>
    </row>
    <row r="1348" spans="1:7">
      <c r="A1348" s="11" t="s">
        <v>104</v>
      </c>
      <c r="B1348" s="11" t="s">
        <v>108</v>
      </c>
      <c r="C1348" s="11" t="s">
        <v>12</v>
      </c>
      <c r="D1348" s="18">
        <v>45922</v>
      </c>
      <c r="E1348" s="11" t="s">
        <v>1774</v>
      </c>
      <c r="F1348" s="11" t="s">
        <v>285</v>
      </c>
      <c r="G1348" s="19">
        <v>9000</v>
      </c>
    </row>
    <row r="1349" spans="1:7">
      <c r="A1349" s="11" t="s">
        <v>200</v>
      </c>
      <c r="B1349" s="11" t="s">
        <v>82</v>
      </c>
      <c r="C1349" s="11" t="s">
        <v>14</v>
      </c>
      <c r="D1349" s="18">
        <v>45922</v>
      </c>
      <c r="E1349" s="11" t="s">
        <v>1775</v>
      </c>
      <c r="F1349" s="11" t="s">
        <v>558</v>
      </c>
      <c r="G1349" s="19">
        <v>45000</v>
      </c>
    </row>
    <row r="1350" spans="1:7">
      <c r="A1350" s="11" t="s">
        <v>200</v>
      </c>
      <c r="B1350" s="11" t="s">
        <v>204</v>
      </c>
      <c r="C1350" s="11" t="s">
        <v>13</v>
      </c>
      <c r="D1350" s="18">
        <v>45922</v>
      </c>
      <c r="E1350" s="11" t="s">
        <v>1775</v>
      </c>
      <c r="F1350" s="11" t="s">
        <v>558</v>
      </c>
      <c r="G1350" s="19">
        <v>150230</v>
      </c>
    </row>
    <row r="1351" spans="1:7">
      <c r="A1351" s="11" t="s">
        <v>72</v>
      </c>
      <c r="B1351" s="11" t="s">
        <v>192</v>
      </c>
      <c r="C1351" s="11" t="s">
        <v>34</v>
      </c>
      <c r="D1351" s="18">
        <v>45922</v>
      </c>
      <c r="E1351" s="11" t="s">
        <v>1776</v>
      </c>
      <c r="F1351" s="11" t="s">
        <v>558</v>
      </c>
      <c r="G1351" s="19">
        <v>21500</v>
      </c>
    </row>
    <row r="1352" spans="1:7">
      <c r="A1352" s="11" t="s">
        <v>144</v>
      </c>
      <c r="B1352" s="11" t="s">
        <v>149</v>
      </c>
      <c r="C1352" s="11" t="s">
        <v>13</v>
      </c>
      <c r="D1352" s="18">
        <v>45922</v>
      </c>
      <c r="E1352" s="11" t="s">
        <v>1777</v>
      </c>
      <c r="F1352" s="11" t="s">
        <v>580</v>
      </c>
      <c r="G1352" s="19">
        <v>135260</v>
      </c>
    </row>
    <row r="1353" spans="1:7">
      <c r="A1353" s="11" t="s">
        <v>87</v>
      </c>
      <c r="B1353" s="11" t="s">
        <v>95</v>
      </c>
      <c r="C1353" s="11" t="s">
        <v>15</v>
      </c>
      <c r="D1353" s="18">
        <v>45922</v>
      </c>
      <c r="E1353" s="11" t="s">
        <v>1778</v>
      </c>
      <c r="F1353" s="11" t="s">
        <v>1779</v>
      </c>
      <c r="G1353" s="19">
        <v>103500</v>
      </c>
    </row>
    <row r="1354" spans="1:7">
      <c r="A1354" s="11" t="s">
        <v>173</v>
      </c>
      <c r="B1354" s="11" t="s">
        <v>180</v>
      </c>
      <c r="C1354" s="11" t="s">
        <v>13</v>
      </c>
      <c r="D1354" s="18">
        <v>45922</v>
      </c>
      <c r="E1354" s="11" t="s">
        <v>1780</v>
      </c>
      <c r="F1354" s="11" t="s">
        <v>267</v>
      </c>
      <c r="G1354" s="19">
        <v>499850</v>
      </c>
    </row>
    <row r="1355" spans="1:7">
      <c r="A1355" s="11" t="s">
        <v>144</v>
      </c>
      <c r="B1355" s="11" t="s">
        <v>146</v>
      </c>
      <c r="C1355" s="11" t="s">
        <v>13</v>
      </c>
      <c r="D1355" s="18">
        <v>45922</v>
      </c>
      <c r="E1355" s="11" t="s">
        <v>1781</v>
      </c>
      <c r="F1355" s="11" t="s">
        <v>1782</v>
      </c>
      <c r="G1355" s="19">
        <v>693000</v>
      </c>
    </row>
    <row r="1356" spans="1:7">
      <c r="A1356" s="11" t="s">
        <v>144</v>
      </c>
      <c r="B1356" s="11" t="s">
        <v>146</v>
      </c>
      <c r="C1356" s="11" t="s">
        <v>13</v>
      </c>
      <c r="D1356" s="18">
        <v>45922</v>
      </c>
      <c r="E1356" s="11" t="s">
        <v>1783</v>
      </c>
      <c r="F1356" s="11" t="s">
        <v>283</v>
      </c>
      <c r="G1356" s="19">
        <v>195760</v>
      </c>
    </row>
    <row r="1357" spans="1:7">
      <c r="A1357" s="11" t="s">
        <v>28</v>
      </c>
      <c r="B1357" s="11" t="s">
        <v>125</v>
      </c>
      <c r="C1357" s="11" t="s">
        <v>15</v>
      </c>
      <c r="D1357" s="18">
        <v>45923</v>
      </c>
      <c r="E1357" s="11" t="s">
        <v>1784</v>
      </c>
      <c r="F1357" s="11" t="s">
        <v>838</v>
      </c>
      <c r="G1357" s="19">
        <v>985050</v>
      </c>
    </row>
    <row r="1358" spans="1:7">
      <c r="A1358" s="11" t="s">
        <v>75</v>
      </c>
      <c r="B1358" s="11" t="s">
        <v>195</v>
      </c>
      <c r="C1358" s="11" t="s">
        <v>15</v>
      </c>
      <c r="D1358" s="18">
        <v>45923</v>
      </c>
      <c r="E1358" s="11" t="s">
        <v>1785</v>
      </c>
      <c r="F1358" s="11" t="s">
        <v>225</v>
      </c>
      <c r="G1358" s="19">
        <v>297000</v>
      </c>
    </row>
    <row r="1359" spans="1:7">
      <c r="A1359" s="11" t="s">
        <v>17</v>
      </c>
      <c r="B1359" s="11" t="s">
        <v>117</v>
      </c>
      <c r="C1359" s="11" t="s">
        <v>12</v>
      </c>
      <c r="D1359" s="18">
        <v>45924</v>
      </c>
      <c r="E1359" s="11" t="s">
        <v>1786</v>
      </c>
      <c r="F1359" s="11" t="s">
        <v>1787</v>
      </c>
      <c r="G1359" s="19">
        <v>1024500</v>
      </c>
    </row>
    <row r="1360" spans="1:7">
      <c r="A1360" s="11" t="s">
        <v>87</v>
      </c>
      <c r="B1360" s="11" t="s">
        <v>95</v>
      </c>
      <c r="C1360" s="11" t="s">
        <v>15</v>
      </c>
      <c r="D1360" s="18">
        <v>45925</v>
      </c>
      <c r="E1360" s="11" t="s">
        <v>1788</v>
      </c>
      <c r="F1360" s="11" t="s">
        <v>779</v>
      </c>
      <c r="G1360" s="19">
        <v>2277000</v>
      </c>
    </row>
    <row r="1361" spans="1:7">
      <c r="A1361" s="11" t="s">
        <v>65</v>
      </c>
      <c r="B1361" s="11" t="s">
        <v>67</v>
      </c>
      <c r="C1361" s="11" t="s">
        <v>66</v>
      </c>
      <c r="D1361" s="18">
        <v>45925</v>
      </c>
      <c r="E1361" s="11" t="s">
        <v>1789</v>
      </c>
      <c r="F1361" s="11" t="s">
        <v>783</v>
      </c>
      <c r="G1361" s="19">
        <v>8729040</v>
      </c>
    </row>
    <row r="1362" spans="1:7">
      <c r="A1362" s="11" t="s">
        <v>65</v>
      </c>
      <c r="B1362" s="11" t="s">
        <v>67</v>
      </c>
      <c r="C1362" s="11" t="s">
        <v>66</v>
      </c>
      <c r="D1362" s="18">
        <v>45925</v>
      </c>
      <c r="E1362" s="11" t="s">
        <v>1790</v>
      </c>
      <c r="F1362" s="11" t="s">
        <v>783</v>
      </c>
      <c r="G1362" s="19">
        <v>349500</v>
      </c>
    </row>
    <row r="1363" spans="1:7">
      <c r="A1363" s="11" t="s">
        <v>130</v>
      </c>
      <c r="B1363" s="11" t="s">
        <v>132</v>
      </c>
      <c r="C1363" s="11" t="s">
        <v>15</v>
      </c>
      <c r="D1363" s="18">
        <v>45925</v>
      </c>
      <c r="E1363" s="11" t="s">
        <v>1791</v>
      </c>
      <c r="F1363" s="11" t="s">
        <v>317</v>
      </c>
      <c r="G1363" s="19">
        <v>450000</v>
      </c>
    </row>
    <row r="1364" spans="1:7">
      <c r="A1364" s="11" t="s">
        <v>87</v>
      </c>
      <c r="B1364" s="11" t="s">
        <v>94</v>
      </c>
      <c r="C1364" s="11" t="s">
        <v>15</v>
      </c>
      <c r="D1364" s="18">
        <v>45925</v>
      </c>
      <c r="E1364" s="11" t="s">
        <v>1792</v>
      </c>
      <c r="F1364" s="11" t="s">
        <v>308</v>
      </c>
      <c r="G1364" s="19">
        <v>84700</v>
      </c>
    </row>
    <row r="1365" spans="1:7">
      <c r="A1365" s="11" t="s">
        <v>87</v>
      </c>
      <c r="B1365" s="11" t="s">
        <v>94</v>
      </c>
      <c r="C1365" s="11" t="s">
        <v>15</v>
      </c>
      <c r="D1365" s="18">
        <v>45925</v>
      </c>
      <c r="E1365" s="11" t="s">
        <v>1793</v>
      </c>
      <c r="F1365" s="11" t="s">
        <v>342</v>
      </c>
      <c r="G1365" s="19">
        <v>660000</v>
      </c>
    </row>
    <row r="1366" spans="1:7">
      <c r="A1366" s="11" t="s">
        <v>87</v>
      </c>
      <c r="B1366" s="11" t="s">
        <v>94</v>
      </c>
      <c r="C1366" s="11" t="s">
        <v>15</v>
      </c>
      <c r="D1366" s="18">
        <v>45925</v>
      </c>
      <c r="E1366" s="11" t="s">
        <v>1794</v>
      </c>
      <c r="F1366" s="11" t="s">
        <v>340</v>
      </c>
      <c r="G1366" s="19">
        <v>198000</v>
      </c>
    </row>
    <row r="1367" spans="1:7">
      <c r="A1367" s="11" t="s">
        <v>87</v>
      </c>
      <c r="B1367" s="11" t="s">
        <v>210</v>
      </c>
      <c r="C1367" s="11" t="s">
        <v>15</v>
      </c>
      <c r="D1367" s="18">
        <v>45925</v>
      </c>
      <c r="E1367" s="11" t="s">
        <v>1795</v>
      </c>
      <c r="F1367" s="11" t="s">
        <v>384</v>
      </c>
      <c r="G1367" s="19">
        <v>8699220</v>
      </c>
    </row>
    <row r="1368" spans="1:7">
      <c r="A1368" s="11" t="s">
        <v>87</v>
      </c>
      <c r="B1368" s="11" t="s">
        <v>97</v>
      </c>
      <c r="C1368" s="11" t="s">
        <v>15</v>
      </c>
      <c r="D1368" s="18">
        <v>45925</v>
      </c>
      <c r="E1368" s="11" t="s">
        <v>1796</v>
      </c>
      <c r="F1368" s="11" t="s">
        <v>350</v>
      </c>
      <c r="G1368" s="19">
        <v>4551520</v>
      </c>
    </row>
    <row r="1369" spans="1:7">
      <c r="A1369" s="11" t="s">
        <v>87</v>
      </c>
      <c r="B1369" s="11" t="s">
        <v>94</v>
      </c>
      <c r="C1369" s="11" t="s">
        <v>15</v>
      </c>
      <c r="D1369" s="18">
        <v>45925</v>
      </c>
      <c r="E1369" s="11" t="s">
        <v>1797</v>
      </c>
      <c r="F1369" s="11" t="s">
        <v>352</v>
      </c>
      <c r="G1369" s="19">
        <v>5141780</v>
      </c>
    </row>
    <row r="1370" spans="1:7">
      <c r="A1370" s="11" t="s">
        <v>75</v>
      </c>
      <c r="B1370" s="11" t="s">
        <v>76</v>
      </c>
      <c r="C1370" s="11" t="s">
        <v>15</v>
      </c>
      <c r="D1370" s="18">
        <v>45925</v>
      </c>
      <c r="E1370" s="11" t="s">
        <v>1798</v>
      </c>
      <c r="F1370" s="11" t="s">
        <v>344</v>
      </c>
      <c r="G1370" s="19">
        <v>1166000</v>
      </c>
    </row>
    <row r="1371" spans="1:7">
      <c r="A1371" s="11" t="s">
        <v>87</v>
      </c>
      <c r="B1371" s="11" t="s">
        <v>88</v>
      </c>
      <c r="C1371" s="11" t="s">
        <v>92</v>
      </c>
      <c r="D1371" s="18">
        <v>45925</v>
      </c>
      <c r="E1371" s="11" t="s">
        <v>1799</v>
      </c>
      <c r="F1371" s="11" t="s">
        <v>323</v>
      </c>
      <c r="G1371" s="19">
        <v>13200</v>
      </c>
    </row>
    <row r="1372" spans="1:7">
      <c r="A1372" s="11" t="s">
        <v>28</v>
      </c>
      <c r="B1372" s="11" t="s">
        <v>29</v>
      </c>
      <c r="C1372" s="11" t="s">
        <v>30</v>
      </c>
      <c r="D1372" s="18">
        <v>45925</v>
      </c>
      <c r="E1372" s="11" t="s">
        <v>1800</v>
      </c>
      <c r="F1372" s="11" t="s">
        <v>321</v>
      </c>
      <c r="G1372" s="19">
        <v>608270</v>
      </c>
    </row>
    <row r="1373" spans="1:7">
      <c r="A1373" s="11" t="s">
        <v>87</v>
      </c>
      <c r="B1373" s="11" t="s">
        <v>30</v>
      </c>
      <c r="C1373" s="11" t="s">
        <v>30</v>
      </c>
      <c r="D1373" s="18">
        <v>45925</v>
      </c>
      <c r="E1373" s="11" t="s">
        <v>1801</v>
      </c>
      <c r="F1373" s="11" t="s">
        <v>321</v>
      </c>
      <c r="G1373" s="19">
        <v>3519780</v>
      </c>
    </row>
    <row r="1374" spans="1:7">
      <c r="A1374" s="11" t="s">
        <v>38</v>
      </c>
      <c r="B1374" s="11" t="s">
        <v>136</v>
      </c>
      <c r="C1374" s="11" t="s">
        <v>15</v>
      </c>
      <c r="D1374" s="18">
        <v>45925</v>
      </c>
      <c r="E1374" s="11" t="s">
        <v>1802</v>
      </c>
      <c r="F1374" s="11" t="s">
        <v>326</v>
      </c>
      <c r="G1374" s="19">
        <v>213420</v>
      </c>
    </row>
    <row r="1375" spans="1:7">
      <c r="A1375" s="11" t="s">
        <v>173</v>
      </c>
      <c r="B1375" s="11" t="s">
        <v>180</v>
      </c>
      <c r="C1375" s="11" t="s">
        <v>25</v>
      </c>
      <c r="D1375" s="18">
        <v>45926</v>
      </c>
      <c r="E1375" s="11" t="s">
        <v>1803</v>
      </c>
      <c r="F1375" s="11" t="s">
        <v>249</v>
      </c>
      <c r="G1375" s="19">
        <v>560000</v>
      </c>
    </row>
    <row r="1376" spans="1:7">
      <c r="A1376" s="11" t="s">
        <v>17</v>
      </c>
      <c r="B1376" s="11" t="s">
        <v>117</v>
      </c>
      <c r="C1376" s="11" t="s">
        <v>12</v>
      </c>
      <c r="D1376" s="18">
        <v>45926</v>
      </c>
      <c r="E1376" s="11" t="s">
        <v>1804</v>
      </c>
      <c r="F1376" s="11" t="s">
        <v>1787</v>
      </c>
      <c r="G1376" s="19">
        <v>-1024500</v>
      </c>
    </row>
    <row r="1377" spans="1:7">
      <c r="A1377" s="11" t="s">
        <v>17</v>
      </c>
      <c r="B1377" s="11" t="s">
        <v>117</v>
      </c>
      <c r="C1377" s="11" t="s">
        <v>12</v>
      </c>
      <c r="D1377" s="18">
        <v>45926</v>
      </c>
      <c r="E1377" s="11" t="s">
        <v>1804</v>
      </c>
      <c r="F1377" s="11" t="s">
        <v>1787</v>
      </c>
      <c r="G1377" s="19">
        <v>1020000</v>
      </c>
    </row>
    <row r="1378" spans="1:7">
      <c r="A1378" s="11" t="s">
        <v>104</v>
      </c>
      <c r="B1378" s="11" t="s">
        <v>108</v>
      </c>
      <c r="C1378" s="11" t="s">
        <v>15</v>
      </c>
      <c r="D1378" s="18">
        <v>45926</v>
      </c>
      <c r="E1378" s="11" t="s">
        <v>1804</v>
      </c>
      <c r="F1378" s="11" t="s">
        <v>1787</v>
      </c>
      <c r="G1378" s="19">
        <v>4500</v>
      </c>
    </row>
    <row r="1379" spans="1:7">
      <c r="A1379" s="11" t="s">
        <v>87</v>
      </c>
      <c r="B1379" s="11" t="s">
        <v>88</v>
      </c>
      <c r="C1379" s="11" t="s">
        <v>92</v>
      </c>
      <c r="D1379" s="18">
        <v>45926</v>
      </c>
      <c r="E1379" s="11" t="s">
        <v>1805</v>
      </c>
      <c r="F1379" s="11" t="s">
        <v>330</v>
      </c>
      <c r="G1379" s="19">
        <v>687760</v>
      </c>
    </row>
    <row r="1380" spans="1:7">
      <c r="A1380" s="11" t="s">
        <v>38</v>
      </c>
      <c r="B1380" s="11" t="s">
        <v>136</v>
      </c>
      <c r="C1380" s="11" t="s">
        <v>15</v>
      </c>
      <c r="D1380" s="18">
        <v>45926</v>
      </c>
      <c r="E1380" s="11" t="s">
        <v>1806</v>
      </c>
      <c r="F1380" s="11" t="s">
        <v>335</v>
      </c>
      <c r="G1380" s="19">
        <v>858600</v>
      </c>
    </row>
    <row r="1381" spans="1:7">
      <c r="A1381" s="11" t="s">
        <v>38</v>
      </c>
      <c r="B1381" s="11" t="s">
        <v>39</v>
      </c>
      <c r="C1381" s="11" t="s">
        <v>15</v>
      </c>
      <c r="D1381" s="18">
        <v>45926</v>
      </c>
      <c r="E1381" s="11" t="s">
        <v>1807</v>
      </c>
      <c r="F1381" s="11" t="s">
        <v>330</v>
      </c>
      <c r="G1381" s="19">
        <v>16500</v>
      </c>
    </row>
    <row r="1382" spans="1:7">
      <c r="A1382" s="11" t="s">
        <v>104</v>
      </c>
      <c r="B1382" s="11" t="s">
        <v>108</v>
      </c>
      <c r="C1382" s="11" t="s">
        <v>15</v>
      </c>
      <c r="D1382" s="18">
        <v>45929</v>
      </c>
      <c r="E1382" s="11" t="s">
        <v>1808</v>
      </c>
      <c r="F1382" s="11" t="s">
        <v>255</v>
      </c>
      <c r="G1382" s="19">
        <v>38160</v>
      </c>
    </row>
    <row r="1383" spans="1:7">
      <c r="A1383" s="11" t="s">
        <v>109</v>
      </c>
      <c r="B1383" s="11" t="s">
        <v>215</v>
      </c>
      <c r="C1383" s="11" t="s">
        <v>120</v>
      </c>
      <c r="D1383" s="18">
        <v>45930</v>
      </c>
      <c r="E1383" s="11" t="s">
        <v>1809</v>
      </c>
      <c r="F1383" s="11" t="s">
        <v>370</v>
      </c>
      <c r="G1383" s="19">
        <v>1262560</v>
      </c>
    </row>
    <row r="1384" spans="1:7">
      <c r="A1384" s="11" t="s">
        <v>55</v>
      </c>
      <c r="B1384" s="11" t="s">
        <v>163</v>
      </c>
      <c r="C1384" s="11" t="s">
        <v>120</v>
      </c>
      <c r="D1384" s="18">
        <v>45930</v>
      </c>
      <c r="E1384" s="11" t="s">
        <v>1810</v>
      </c>
      <c r="F1384" s="11" t="s">
        <v>372</v>
      </c>
      <c r="G1384" s="19">
        <v>2622240</v>
      </c>
    </row>
    <row r="1385" spans="1:7">
      <c r="A1385" s="11" t="s">
        <v>200</v>
      </c>
      <c r="B1385" s="11" t="s">
        <v>201</v>
      </c>
      <c r="C1385" s="11" t="s">
        <v>120</v>
      </c>
      <c r="D1385" s="18">
        <v>45930</v>
      </c>
      <c r="E1385" s="11" t="s">
        <v>1811</v>
      </c>
      <c r="F1385" s="11" t="s">
        <v>368</v>
      </c>
      <c r="G1385" s="19">
        <v>4416540</v>
      </c>
    </row>
    <row r="1386" spans="1:7">
      <c r="A1386" s="11" t="s">
        <v>22</v>
      </c>
      <c r="B1386" s="11" t="s">
        <v>119</v>
      </c>
      <c r="C1386" s="11" t="s">
        <v>120</v>
      </c>
      <c r="D1386" s="18">
        <v>45930</v>
      </c>
      <c r="E1386" s="11" t="s">
        <v>1812</v>
      </c>
      <c r="F1386" s="11" t="s">
        <v>1410</v>
      </c>
      <c r="G1386" s="19">
        <v>13081490</v>
      </c>
    </row>
    <row r="1387" spans="1:7">
      <c r="A1387" s="11" t="s">
        <v>173</v>
      </c>
      <c r="B1387" s="11" t="s">
        <v>179</v>
      </c>
      <c r="C1387" s="11" t="s">
        <v>15</v>
      </c>
      <c r="D1387" s="18">
        <v>45930</v>
      </c>
      <c r="E1387" s="11" t="s">
        <v>1813</v>
      </c>
      <c r="F1387" s="11" t="s">
        <v>651</v>
      </c>
      <c r="G1387" s="19">
        <v>752680</v>
      </c>
    </row>
    <row r="1388" spans="1:7">
      <c r="A1388" s="11" t="s">
        <v>55</v>
      </c>
      <c r="B1388" s="11" t="s">
        <v>166</v>
      </c>
      <c r="C1388" s="11" t="s">
        <v>25</v>
      </c>
      <c r="D1388" s="18">
        <v>45930</v>
      </c>
      <c r="E1388" s="11" t="s">
        <v>1814</v>
      </c>
      <c r="F1388" s="11" t="s">
        <v>649</v>
      </c>
      <c r="G1388" s="19">
        <v>720000</v>
      </c>
    </row>
    <row r="1389" spans="1:7">
      <c r="A1389" s="11" t="s">
        <v>173</v>
      </c>
      <c r="B1389" s="11" t="s">
        <v>180</v>
      </c>
      <c r="C1389" s="11" t="s">
        <v>25</v>
      </c>
      <c r="D1389" s="18">
        <v>45930</v>
      </c>
      <c r="E1389" s="11" t="s">
        <v>1815</v>
      </c>
      <c r="F1389" s="11" t="s">
        <v>896</v>
      </c>
      <c r="G1389" s="19">
        <v>8080000</v>
      </c>
    </row>
    <row r="1390" spans="1:7">
      <c r="A1390" s="11" t="s">
        <v>87</v>
      </c>
      <c r="B1390" s="11" t="s">
        <v>94</v>
      </c>
      <c r="C1390" s="11" t="s">
        <v>15</v>
      </c>
      <c r="D1390" s="18">
        <v>45930</v>
      </c>
      <c r="E1390" s="11" t="s">
        <v>1816</v>
      </c>
      <c r="F1390" s="11" t="s">
        <v>346</v>
      </c>
      <c r="G1390" s="19">
        <v>330000</v>
      </c>
    </row>
    <row r="1391" spans="1:7">
      <c r="A1391" s="11" t="s">
        <v>38</v>
      </c>
      <c r="B1391" s="11" t="s">
        <v>138</v>
      </c>
      <c r="C1391" s="11" t="s">
        <v>15</v>
      </c>
      <c r="D1391" s="18">
        <v>45930</v>
      </c>
      <c r="E1391" s="11" t="s">
        <v>1817</v>
      </c>
      <c r="F1391" s="11" t="s">
        <v>348</v>
      </c>
      <c r="G1391" s="19">
        <v>1365080</v>
      </c>
    </row>
    <row r="1392" spans="1:7">
      <c r="A1392" s="11" t="s">
        <v>144</v>
      </c>
      <c r="B1392" s="11" t="s">
        <v>148</v>
      </c>
      <c r="C1392" s="11" t="s">
        <v>25</v>
      </c>
      <c r="D1392" s="18">
        <v>45930</v>
      </c>
      <c r="E1392" s="11" t="s">
        <v>1818</v>
      </c>
      <c r="F1392" s="11" t="s">
        <v>1819</v>
      </c>
      <c r="G1392" s="19">
        <v>840000</v>
      </c>
    </row>
    <row r="1393" spans="1:7">
      <c r="A1393" s="11" t="s">
        <v>28</v>
      </c>
      <c r="B1393" s="11" t="s">
        <v>29</v>
      </c>
      <c r="C1393" s="11" t="s">
        <v>15</v>
      </c>
      <c r="D1393" s="18">
        <v>45930</v>
      </c>
      <c r="E1393" s="11" t="s">
        <v>1820</v>
      </c>
      <c r="F1393" s="11" t="s">
        <v>1821</v>
      </c>
      <c r="G1393" s="19">
        <v>3000</v>
      </c>
    </row>
    <row r="1394" spans="1:7">
      <c r="A1394" s="11" t="s">
        <v>28</v>
      </c>
      <c r="B1394" s="11" t="s">
        <v>29</v>
      </c>
      <c r="C1394" s="11" t="s">
        <v>15</v>
      </c>
      <c r="D1394" s="18">
        <v>45930</v>
      </c>
      <c r="E1394" s="11" t="s">
        <v>1822</v>
      </c>
      <c r="F1394" s="11" t="s">
        <v>1821</v>
      </c>
      <c r="G1394" s="19">
        <v>35000</v>
      </c>
    </row>
    <row r="1395" spans="1:7">
      <c r="A1395" s="11" t="s">
        <v>104</v>
      </c>
      <c r="B1395" s="11" t="s">
        <v>108</v>
      </c>
      <c r="C1395" s="11" t="s">
        <v>15</v>
      </c>
      <c r="D1395" s="18">
        <v>45930</v>
      </c>
      <c r="E1395" s="11" t="s">
        <v>1823</v>
      </c>
      <c r="F1395" s="11" t="s">
        <v>313</v>
      </c>
      <c r="G1395" s="19">
        <v>1806000</v>
      </c>
    </row>
    <row r="1396" spans="1:7">
      <c r="A1396" s="11" t="s">
        <v>87</v>
      </c>
      <c r="B1396" s="11" t="s">
        <v>90</v>
      </c>
      <c r="C1396" s="11" t="s">
        <v>90</v>
      </c>
      <c r="D1396" s="18">
        <v>45930</v>
      </c>
      <c r="E1396" s="11" t="s">
        <v>1824</v>
      </c>
      <c r="F1396" s="11" t="s">
        <v>380</v>
      </c>
      <c r="G1396" s="19">
        <v>3287960</v>
      </c>
    </row>
    <row r="1397" spans="1:7">
      <c r="A1397" s="11" t="s">
        <v>87</v>
      </c>
      <c r="B1397" s="11" t="s">
        <v>89</v>
      </c>
      <c r="C1397" s="11" t="s">
        <v>89</v>
      </c>
      <c r="D1397" s="18">
        <v>45930</v>
      </c>
      <c r="E1397" s="11" t="s">
        <v>1825</v>
      </c>
      <c r="F1397" s="11" t="s">
        <v>382</v>
      </c>
      <c r="G1397" s="19">
        <v>4133650</v>
      </c>
    </row>
    <row r="1398" spans="1:7">
      <c r="A1398" s="11" t="s">
        <v>87</v>
      </c>
      <c r="B1398" s="11" t="s">
        <v>89</v>
      </c>
      <c r="C1398" s="11" t="s">
        <v>89</v>
      </c>
      <c r="D1398" s="18">
        <v>45930</v>
      </c>
      <c r="E1398" s="11" t="s">
        <v>1826</v>
      </c>
      <c r="F1398" s="11" t="s">
        <v>378</v>
      </c>
      <c r="G1398" s="19">
        <v>2500</v>
      </c>
    </row>
    <row r="1399" spans="1:7">
      <c r="A1399" s="11" t="s">
        <v>104</v>
      </c>
      <c r="B1399" s="11" t="s">
        <v>105</v>
      </c>
      <c r="C1399" s="11" t="s">
        <v>107</v>
      </c>
      <c r="D1399" s="18">
        <v>45931</v>
      </c>
      <c r="E1399" s="11" t="s">
        <v>1827</v>
      </c>
      <c r="F1399" s="11" t="s">
        <v>231</v>
      </c>
      <c r="G1399" s="19">
        <v>370000</v>
      </c>
    </row>
    <row r="1400" spans="1:7">
      <c r="A1400" s="11" t="s">
        <v>28</v>
      </c>
      <c r="B1400" s="11" t="s">
        <v>125</v>
      </c>
      <c r="C1400" s="11" t="s">
        <v>32</v>
      </c>
      <c r="D1400" s="18">
        <v>45931</v>
      </c>
      <c r="E1400" s="11" t="s">
        <v>1828</v>
      </c>
      <c r="F1400" s="11" t="s">
        <v>407</v>
      </c>
      <c r="G1400" s="19">
        <v>6013710</v>
      </c>
    </row>
    <row r="1401" spans="1:7">
      <c r="A1401" s="11" t="s">
        <v>28</v>
      </c>
      <c r="B1401" s="11" t="s">
        <v>127</v>
      </c>
      <c r="C1401" s="11" t="s">
        <v>32</v>
      </c>
      <c r="D1401" s="18">
        <v>45931</v>
      </c>
      <c r="E1401" s="11" t="s">
        <v>1828</v>
      </c>
      <c r="F1401" s="11" t="s">
        <v>407</v>
      </c>
      <c r="G1401" s="19">
        <v>592950</v>
      </c>
    </row>
    <row r="1402" spans="1:7">
      <c r="A1402" s="11" t="s">
        <v>104</v>
      </c>
      <c r="B1402" s="11" t="s">
        <v>108</v>
      </c>
      <c r="C1402" s="11" t="s">
        <v>15</v>
      </c>
      <c r="D1402" s="18">
        <v>45931</v>
      </c>
      <c r="E1402" s="11" t="s">
        <v>1829</v>
      </c>
      <c r="F1402" s="11" t="s">
        <v>409</v>
      </c>
      <c r="G1402" s="19">
        <v>22000</v>
      </c>
    </row>
    <row r="1403" spans="1:7">
      <c r="A1403" s="11" t="s">
        <v>28</v>
      </c>
      <c r="B1403" s="11" t="s">
        <v>125</v>
      </c>
      <c r="C1403" s="11" t="s">
        <v>15</v>
      </c>
      <c r="D1403" s="18">
        <v>45931</v>
      </c>
      <c r="E1403" s="11" t="s">
        <v>1830</v>
      </c>
      <c r="F1403" s="11" t="s">
        <v>319</v>
      </c>
      <c r="G1403" s="19">
        <v>365200</v>
      </c>
    </row>
    <row r="1404" spans="1:7">
      <c r="A1404" s="11" t="s">
        <v>173</v>
      </c>
      <c r="B1404" s="11" t="s">
        <v>178</v>
      </c>
      <c r="C1404" s="11" t="s">
        <v>13</v>
      </c>
      <c r="D1404" s="18">
        <v>45931</v>
      </c>
      <c r="E1404" s="11" t="s">
        <v>1831</v>
      </c>
      <c r="F1404" s="11" t="s">
        <v>389</v>
      </c>
      <c r="G1404" s="19">
        <v>7590000</v>
      </c>
    </row>
    <row r="1405" spans="1:7">
      <c r="A1405" s="11" t="s">
        <v>22</v>
      </c>
      <c r="B1405" s="11" t="s">
        <v>119</v>
      </c>
      <c r="C1405" s="11" t="s">
        <v>120</v>
      </c>
      <c r="D1405" s="18">
        <v>45931</v>
      </c>
      <c r="E1405" s="11" t="s">
        <v>1832</v>
      </c>
      <c r="F1405" s="11" t="s">
        <v>1603</v>
      </c>
      <c r="G1405" s="19">
        <v>198070</v>
      </c>
    </row>
    <row r="1406" spans="1:7">
      <c r="A1406" s="11" t="s">
        <v>144</v>
      </c>
      <c r="B1406" s="11" t="s">
        <v>51</v>
      </c>
      <c r="C1406" s="11" t="s">
        <v>25</v>
      </c>
      <c r="D1406" s="18">
        <v>45931</v>
      </c>
      <c r="E1406" s="11" t="s">
        <v>1833</v>
      </c>
      <c r="F1406" s="11" t="s">
        <v>1834</v>
      </c>
      <c r="G1406" s="19">
        <v>30000</v>
      </c>
    </row>
    <row r="1407" spans="1:7">
      <c r="A1407" s="11" t="s">
        <v>144</v>
      </c>
      <c r="B1407" s="11" t="s">
        <v>154</v>
      </c>
      <c r="C1407" s="11" t="s">
        <v>25</v>
      </c>
      <c r="D1407" s="18">
        <v>45931</v>
      </c>
      <c r="E1407" s="11" t="s">
        <v>1835</v>
      </c>
      <c r="F1407" s="11" t="s">
        <v>1836</v>
      </c>
      <c r="G1407" s="19">
        <v>2800000</v>
      </c>
    </row>
    <row r="1408" spans="1:7">
      <c r="A1408" s="11" t="s">
        <v>168</v>
      </c>
      <c r="B1408" s="11" t="s">
        <v>170</v>
      </c>
      <c r="C1408" s="11" t="s">
        <v>25</v>
      </c>
      <c r="D1408" s="18">
        <v>45931</v>
      </c>
      <c r="E1408" s="11" t="s">
        <v>1837</v>
      </c>
      <c r="F1408" s="11" t="s">
        <v>1838</v>
      </c>
      <c r="G1408" s="19">
        <v>840000</v>
      </c>
    </row>
    <row r="1409" spans="1:7">
      <c r="A1409" s="11" t="s">
        <v>168</v>
      </c>
      <c r="B1409" s="11" t="s">
        <v>170</v>
      </c>
      <c r="C1409" s="11" t="s">
        <v>25</v>
      </c>
      <c r="D1409" s="18">
        <v>45931</v>
      </c>
      <c r="E1409" s="11" t="s">
        <v>1839</v>
      </c>
      <c r="F1409" s="11" t="s">
        <v>775</v>
      </c>
      <c r="G1409" s="19">
        <v>280000</v>
      </c>
    </row>
    <row r="1410" spans="1:7">
      <c r="A1410" s="11" t="s">
        <v>168</v>
      </c>
      <c r="B1410" s="11" t="s">
        <v>170</v>
      </c>
      <c r="C1410" s="11" t="s">
        <v>25</v>
      </c>
      <c r="D1410" s="18">
        <v>45931</v>
      </c>
      <c r="E1410" s="11" t="s">
        <v>1840</v>
      </c>
      <c r="F1410" s="11" t="s">
        <v>1841</v>
      </c>
      <c r="G1410" s="19">
        <v>1120000</v>
      </c>
    </row>
    <row r="1411" spans="1:7">
      <c r="A1411" s="11" t="s">
        <v>168</v>
      </c>
      <c r="B1411" s="11" t="s">
        <v>170</v>
      </c>
      <c r="C1411" s="11" t="s">
        <v>25</v>
      </c>
      <c r="D1411" s="18">
        <v>45931</v>
      </c>
      <c r="E1411" s="11" t="s">
        <v>1842</v>
      </c>
      <c r="F1411" s="11" t="s">
        <v>1692</v>
      </c>
      <c r="G1411" s="19">
        <v>800000</v>
      </c>
    </row>
    <row r="1412" spans="1:7">
      <c r="A1412" s="11" t="s">
        <v>144</v>
      </c>
      <c r="B1412" s="11" t="s">
        <v>148</v>
      </c>
      <c r="C1412" s="11" t="s">
        <v>25</v>
      </c>
      <c r="D1412" s="18">
        <v>45931</v>
      </c>
      <c r="E1412" s="11" t="s">
        <v>1843</v>
      </c>
      <c r="F1412" s="11" t="s">
        <v>695</v>
      </c>
      <c r="G1412" s="19">
        <v>1505000</v>
      </c>
    </row>
    <row r="1413" spans="1:7">
      <c r="A1413" s="11" t="s">
        <v>55</v>
      </c>
      <c r="B1413" s="11" t="s">
        <v>164</v>
      </c>
      <c r="C1413" s="11" t="s">
        <v>120</v>
      </c>
      <c r="D1413" s="18">
        <v>45931</v>
      </c>
      <c r="E1413" s="11" t="s">
        <v>1844</v>
      </c>
      <c r="F1413" s="11" t="s">
        <v>1845</v>
      </c>
      <c r="G1413" s="19">
        <v>509880</v>
      </c>
    </row>
    <row r="1414" spans="1:7">
      <c r="A1414" s="11" t="s">
        <v>144</v>
      </c>
      <c r="B1414" s="11" t="s">
        <v>149</v>
      </c>
      <c r="C1414" s="11" t="s">
        <v>25</v>
      </c>
      <c r="D1414" s="18">
        <v>45931</v>
      </c>
      <c r="E1414" s="11" t="s">
        <v>1846</v>
      </c>
      <c r="F1414" s="11" t="s">
        <v>654</v>
      </c>
      <c r="G1414" s="19">
        <v>1475000</v>
      </c>
    </row>
    <row r="1415" spans="1:7">
      <c r="A1415" s="11" t="s">
        <v>45</v>
      </c>
      <c r="B1415" s="11" t="s">
        <v>143</v>
      </c>
      <c r="C1415" s="11" t="s">
        <v>15</v>
      </c>
      <c r="D1415" s="18">
        <v>45931</v>
      </c>
      <c r="E1415" s="11" t="s">
        <v>1847</v>
      </c>
      <c r="F1415" s="11" t="s">
        <v>426</v>
      </c>
      <c r="G1415" s="19">
        <v>10026720</v>
      </c>
    </row>
    <row r="1416" spans="1:7">
      <c r="A1416" s="11" t="s">
        <v>28</v>
      </c>
      <c r="B1416" s="11" t="s">
        <v>123</v>
      </c>
      <c r="C1416" s="11" t="s">
        <v>120</v>
      </c>
      <c r="D1416" s="18">
        <v>45931</v>
      </c>
      <c r="E1416" s="11" t="s">
        <v>1848</v>
      </c>
      <c r="F1416" s="11" t="s">
        <v>428</v>
      </c>
      <c r="G1416" s="19">
        <v>7364200</v>
      </c>
    </row>
    <row r="1417" spans="1:7">
      <c r="A1417" s="11" t="s">
        <v>28</v>
      </c>
      <c r="B1417" s="11" t="s">
        <v>29</v>
      </c>
      <c r="C1417" s="11" t="s">
        <v>15</v>
      </c>
      <c r="D1417" s="18">
        <v>45931</v>
      </c>
      <c r="E1417" s="11" t="s">
        <v>1849</v>
      </c>
      <c r="F1417" s="11" t="s">
        <v>405</v>
      </c>
      <c r="G1417" s="19">
        <v>619200</v>
      </c>
    </row>
    <row r="1418" spans="1:7">
      <c r="A1418" s="11" t="s">
        <v>22</v>
      </c>
      <c r="B1418" s="11" t="s">
        <v>119</v>
      </c>
      <c r="C1418" s="11" t="s">
        <v>120</v>
      </c>
      <c r="D1418" s="18">
        <v>45931</v>
      </c>
      <c r="E1418" s="11" t="s">
        <v>1850</v>
      </c>
      <c r="F1418" s="11" t="s">
        <v>1444</v>
      </c>
      <c r="G1418" s="19">
        <v>509880</v>
      </c>
    </row>
    <row r="1419" spans="1:7">
      <c r="A1419" s="11" t="s">
        <v>173</v>
      </c>
      <c r="B1419" s="11" t="s">
        <v>180</v>
      </c>
      <c r="C1419" s="11" t="s">
        <v>151</v>
      </c>
      <c r="D1419" s="18">
        <v>45931</v>
      </c>
      <c r="E1419" s="11" t="s">
        <v>1851</v>
      </c>
      <c r="F1419" s="11" t="s">
        <v>502</v>
      </c>
      <c r="G1419" s="19">
        <v>66300</v>
      </c>
    </row>
    <row r="1420" spans="1:7">
      <c r="A1420" s="11" t="s">
        <v>54</v>
      </c>
      <c r="B1420" s="11" t="s">
        <v>1694</v>
      </c>
      <c r="C1420" s="11" t="s">
        <v>120</v>
      </c>
      <c r="D1420" s="18">
        <v>45932</v>
      </c>
      <c r="E1420" s="11" t="s">
        <v>1852</v>
      </c>
      <c r="F1420" s="11" t="s">
        <v>249</v>
      </c>
      <c r="G1420" s="19">
        <v>925000</v>
      </c>
    </row>
    <row r="1421" spans="1:7">
      <c r="A1421" s="11" t="s">
        <v>22</v>
      </c>
      <c r="B1421" s="11" t="s">
        <v>119</v>
      </c>
      <c r="C1421" s="11" t="s">
        <v>120</v>
      </c>
      <c r="D1421" s="18">
        <v>45932</v>
      </c>
      <c r="E1421" s="11" t="s">
        <v>1853</v>
      </c>
      <c r="F1421" s="11" t="s">
        <v>1410</v>
      </c>
      <c r="G1421" s="19">
        <v>5550000</v>
      </c>
    </row>
    <row r="1422" spans="1:7">
      <c r="A1422" s="11" t="s">
        <v>200</v>
      </c>
      <c r="B1422" s="11" t="s">
        <v>201</v>
      </c>
      <c r="C1422" s="11" t="s">
        <v>120</v>
      </c>
      <c r="D1422" s="18">
        <v>45932</v>
      </c>
      <c r="E1422" s="11" t="s">
        <v>1854</v>
      </c>
      <c r="F1422" s="11" t="s">
        <v>368</v>
      </c>
      <c r="G1422" s="19">
        <v>200000</v>
      </c>
    </row>
    <row r="1423" spans="1:7">
      <c r="A1423" s="11" t="s">
        <v>28</v>
      </c>
      <c r="B1423" s="11" t="s">
        <v>126</v>
      </c>
      <c r="C1423" s="11" t="s">
        <v>32</v>
      </c>
      <c r="D1423" s="18">
        <v>45932</v>
      </c>
      <c r="E1423" s="11" t="s">
        <v>1855</v>
      </c>
      <c r="F1423" s="11" t="s">
        <v>411</v>
      </c>
      <c r="G1423" s="19">
        <v>21581500</v>
      </c>
    </row>
    <row r="1424" spans="1:7">
      <c r="A1424" s="11" t="s">
        <v>28</v>
      </c>
      <c r="B1424" s="11" t="s">
        <v>127</v>
      </c>
      <c r="C1424" s="11" t="s">
        <v>32</v>
      </c>
      <c r="D1424" s="18">
        <v>45932</v>
      </c>
      <c r="E1424" s="11" t="s">
        <v>1856</v>
      </c>
      <c r="F1424" s="11" t="s">
        <v>413</v>
      </c>
      <c r="G1424" s="19">
        <v>12539070</v>
      </c>
    </row>
    <row r="1425" spans="1:7">
      <c r="A1425" s="11" t="s">
        <v>28</v>
      </c>
      <c r="B1425" s="11" t="s">
        <v>127</v>
      </c>
      <c r="C1425" s="11" t="s">
        <v>32</v>
      </c>
      <c r="D1425" s="18">
        <v>45932</v>
      </c>
      <c r="E1425" s="11" t="s">
        <v>1857</v>
      </c>
      <c r="F1425" s="11" t="s">
        <v>415</v>
      </c>
      <c r="G1425" s="19">
        <v>8002590</v>
      </c>
    </row>
    <row r="1426" spans="1:7">
      <c r="A1426" s="11" t="s">
        <v>28</v>
      </c>
      <c r="B1426" s="11" t="s">
        <v>126</v>
      </c>
      <c r="C1426" s="11" t="s">
        <v>32</v>
      </c>
      <c r="D1426" s="18">
        <v>45932</v>
      </c>
      <c r="E1426" s="11" t="s">
        <v>1858</v>
      </c>
      <c r="F1426" s="11" t="s">
        <v>1859</v>
      </c>
      <c r="G1426" s="19">
        <v>28427020</v>
      </c>
    </row>
    <row r="1427" spans="1:7">
      <c r="A1427" s="11" t="s">
        <v>28</v>
      </c>
      <c r="B1427" s="11" t="s">
        <v>126</v>
      </c>
      <c r="C1427" s="11" t="s">
        <v>32</v>
      </c>
      <c r="D1427" s="18">
        <v>45932</v>
      </c>
      <c r="E1427" s="11" t="s">
        <v>1860</v>
      </c>
      <c r="F1427" s="11" t="s">
        <v>419</v>
      </c>
      <c r="G1427" s="19">
        <v>3853200</v>
      </c>
    </row>
    <row r="1428" spans="1:7">
      <c r="A1428" s="11" t="s">
        <v>28</v>
      </c>
      <c r="B1428" s="11" t="s">
        <v>127</v>
      </c>
      <c r="C1428" s="11" t="s">
        <v>32</v>
      </c>
      <c r="D1428" s="18">
        <v>45932</v>
      </c>
      <c r="E1428" s="11" t="s">
        <v>1861</v>
      </c>
      <c r="F1428" s="11" t="s">
        <v>417</v>
      </c>
      <c r="G1428" s="19">
        <v>4843500</v>
      </c>
    </row>
    <row r="1429" spans="1:7">
      <c r="A1429" s="11" t="s">
        <v>130</v>
      </c>
      <c r="B1429" s="11" t="s">
        <v>37</v>
      </c>
      <c r="C1429" s="11" t="s">
        <v>13</v>
      </c>
      <c r="D1429" s="18">
        <v>45932</v>
      </c>
      <c r="E1429" s="11" t="s">
        <v>1862</v>
      </c>
      <c r="F1429" s="11" t="s">
        <v>998</v>
      </c>
      <c r="G1429" s="19">
        <v>720000</v>
      </c>
    </row>
    <row r="1430" spans="1:7">
      <c r="A1430" s="11" t="s">
        <v>104</v>
      </c>
      <c r="B1430" s="11" t="s">
        <v>108</v>
      </c>
      <c r="C1430" s="11" t="s">
        <v>15</v>
      </c>
      <c r="D1430" s="18">
        <v>45932</v>
      </c>
      <c r="E1430" s="11" t="s">
        <v>1863</v>
      </c>
      <c r="F1430" s="11" t="s">
        <v>396</v>
      </c>
      <c r="G1430" s="19">
        <v>17000</v>
      </c>
    </row>
    <row r="1431" spans="1:7">
      <c r="A1431" s="11" t="s">
        <v>173</v>
      </c>
      <c r="B1431" s="11" t="s">
        <v>180</v>
      </c>
      <c r="C1431" s="11" t="s">
        <v>25</v>
      </c>
      <c r="D1431" s="18">
        <v>45932</v>
      </c>
      <c r="E1431" s="11" t="s">
        <v>1864</v>
      </c>
      <c r="F1431" s="11" t="s">
        <v>1865</v>
      </c>
      <c r="G1431" s="19">
        <v>80000</v>
      </c>
    </row>
    <row r="1432" spans="1:7">
      <c r="A1432" s="11" t="s">
        <v>72</v>
      </c>
      <c r="B1432" s="11" t="s">
        <v>192</v>
      </c>
      <c r="C1432" s="11" t="s">
        <v>25</v>
      </c>
      <c r="D1432" s="18">
        <v>45932</v>
      </c>
      <c r="E1432" s="11" t="s">
        <v>1866</v>
      </c>
      <c r="F1432" s="11" t="s">
        <v>1867</v>
      </c>
      <c r="G1432" s="19">
        <v>225000</v>
      </c>
    </row>
    <row r="1433" spans="1:7">
      <c r="A1433" s="11" t="s">
        <v>144</v>
      </c>
      <c r="B1433" s="11" t="s">
        <v>1868</v>
      </c>
      <c r="C1433" s="11" t="s">
        <v>25</v>
      </c>
      <c r="D1433" s="18">
        <v>45932</v>
      </c>
      <c r="E1433" s="11" t="s">
        <v>1866</v>
      </c>
      <c r="F1433" s="11" t="s">
        <v>1867</v>
      </c>
      <c r="G1433" s="19">
        <v>1250000</v>
      </c>
    </row>
    <row r="1434" spans="1:7">
      <c r="A1434" s="11" t="s">
        <v>144</v>
      </c>
      <c r="B1434" s="11" t="s">
        <v>150</v>
      </c>
      <c r="C1434" s="11" t="s">
        <v>25</v>
      </c>
      <c r="D1434" s="18">
        <v>45932</v>
      </c>
      <c r="E1434" s="11" t="s">
        <v>1866</v>
      </c>
      <c r="F1434" s="11" t="s">
        <v>1869</v>
      </c>
      <c r="G1434" s="19">
        <v>2950000</v>
      </c>
    </row>
    <row r="1435" spans="1:7">
      <c r="A1435" s="11" t="s">
        <v>173</v>
      </c>
      <c r="B1435" s="11" t="s">
        <v>176</v>
      </c>
      <c r="C1435" s="11" t="s">
        <v>13</v>
      </c>
      <c r="D1435" s="18">
        <v>45932</v>
      </c>
      <c r="E1435" s="11" t="s">
        <v>1870</v>
      </c>
      <c r="F1435" s="11" t="s">
        <v>394</v>
      </c>
      <c r="G1435" s="19">
        <v>440000</v>
      </c>
    </row>
    <row r="1436" spans="1:7">
      <c r="A1436" s="11" t="s">
        <v>173</v>
      </c>
      <c r="B1436" s="11" t="s">
        <v>175</v>
      </c>
      <c r="C1436" s="11" t="s">
        <v>13</v>
      </c>
      <c r="D1436" s="18">
        <v>45932</v>
      </c>
      <c r="E1436" s="11" t="s">
        <v>1870</v>
      </c>
      <c r="F1436" s="11" t="s">
        <v>393</v>
      </c>
      <c r="G1436" s="19">
        <v>660000</v>
      </c>
    </row>
    <row r="1437" spans="1:7">
      <c r="A1437" s="11" t="s">
        <v>72</v>
      </c>
      <c r="B1437" s="11" t="s">
        <v>192</v>
      </c>
      <c r="C1437" s="11" t="s">
        <v>25</v>
      </c>
      <c r="D1437" s="18">
        <v>45932</v>
      </c>
      <c r="E1437" s="11" t="s">
        <v>1871</v>
      </c>
      <c r="F1437" s="11" t="s">
        <v>1872</v>
      </c>
      <c r="G1437" s="19">
        <v>120000</v>
      </c>
    </row>
    <row r="1438" spans="1:7">
      <c r="A1438" s="11" t="s">
        <v>55</v>
      </c>
      <c r="B1438" s="11" t="s">
        <v>163</v>
      </c>
      <c r="C1438" s="11" t="s">
        <v>151</v>
      </c>
      <c r="D1438" s="18">
        <v>45932</v>
      </c>
      <c r="E1438" s="11" t="s">
        <v>1873</v>
      </c>
      <c r="F1438" s="11" t="s">
        <v>502</v>
      </c>
      <c r="G1438" s="19">
        <v>-18490</v>
      </c>
    </row>
    <row r="1439" spans="1:7">
      <c r="A1439" s="11" t="s">
        <v>173</v>
      </c>
      <c r="B1439" s="11" t="s">
        <v>180</v>
      </c>
      <c r="C1439" s="11" t="s">
        <v>151</v>
      </c>
      <c r="D1439" s="18">
        <v>45932</v>
      </c>
      <c r="E1439" s="11" t="s">
        <v>1873</v>
      </c>
      <c r="F1439" s="11" t="s">
        <v>502</v>
      </c>
      <c r="G1439" s="19">
        <v>20280</v>
      </c>
    </row>
    <row r="1440" spans="1:7">
      <c r="A1440" s="11" t="s">
        <v>72</v>
      </c>
      <c r="B1440" s="11" t="s">
        <v>192</v>
      </c>
      <c r="C1440" s="11" t="s">
        <v>120</v>
      </c>
      <c r="D1440" s="18">
        <v>45932</v>
      </c>
      <c r="E1440" s="11" t="s">
        <v>1873</v>
      </c>
      <c r="F1440" s="11" t="s">
        <v>502</v>
      </c>
      <c r="G1440" s="19">
        <v>38040</v>
      </c>
    </row>
    <row r="1441" spans="1:7">
      <c r="A1441" s="11" t="s">
        <v>72</v>
      </c>
      <c r="B1441" s="11" t="s">
        <v>192</v>
      </c>
      <c r="C1441" s="11" t="s">
        <v>151</v>
      </c>
      <c r="D1441" s="18">
        <v>45932</v>
      </c>
      <c r="E1441" s="11" t="s">
        <v>1873</v>
      </c>
      <c r="F1441" s="11" t="s">
        <v>502</v>
      </c>
      <c r="G1441" s="19">
        <v>222760</v>
      </c>
    </row>
    <row r="1442" spans="1:7">
      <c r="A1442" s="11" t="s">
        <v>200</v>
      </c>
      <c r="B1442" s="11" t="s">
        <v>201</v>
      </c>
      <c r="C1442" s="11" t="s">
        <v>151</v>
      </c>
      <c r="D1442" s="18">
        <v>45932</v>
      </c>
      <c r="E1442" s="11" t="s">
        <v>1873</v>
      </c>
      <c r="F1442" s="11" t="s">
        <v>502</v>
      </c>
      <c r="G1442" s="19">
        <v>252890</v>
      </c>
    </row>
    <row r="1443" spans="1:7">
      <c r="A1443" s="11" t="s">
        <v>109</v>
      </c>
      <c r="B1443" s="11" t="s">
        <v>215</v>
      </c>
      <c r="C1443" s="11" t="s">
        <v>120</v>
      </c>
      <c r="D1443" s="18">
        <v>45932</v>
      </c>
      <c r="E1443" s="11" t="s">
        <v>1873</v>
      </c>
      <c r="F1443" s="11" t="s">
        <v>502</v>
      </c>
      <c r="G1443" s="19">
        <v>95870</v>
      </c>
    </row>
    <row r="1444" spans="1:7">
      <c r="A1444" s="11" t="s">
        <v>54</v>
      </c>
      <c r="B1444" s="11" t="s">
        <v>1694</v>
      </c>
      <c r="C1444" s="11" t="s">
        <v>120</v>
      </c>
      <c r="D1444" s="18">
        <v>45932</v>
      </c>
      <c r="E1444" s="11" t="s">
        <v>1873</v>
      </c>
      <c r="F1444" s="11" t="s">
        <v>502</v>
      </c>
      <c r="G1444" s="19">
        <v>357200</v>
      </c>
    </row>
    <row r="1445" spans="1:7">
      <c r="A1445" s="11" t="s">
        <v>54</v>
      </c>
      <c r="B1445" s="11" t="s">
        <v>158</v>
      </c>
      <c r="C1445" s="11" t="s">
        <v>151</v>
      </c>
      <c r="D1445" s="18">
        <v>45932</v>
      </c>
      <c r="E1445" s="11" t="s">
        <v>1873</v>
      </c>
      <c r="F1445" s="11" t="s">
        <v>502</v>
      </c>
      <c r="G1445" s="19">
        <v>-26000</v>
      </c>
    </row>
    <row r="1446" spans="1:7">
      <c r="A1446" s="11" t="s">
        <v>144</v>
      </c>
      <c r="B1446" s="11" t="s">
        <v>154</v>
      </c>
      <c r="C1446" s="11" t="s">
        <v>25</v>
      </c>
      <c r="D1446" s="18">
        <v>45932</v>
      </c>
      <c r="E1446" s="11" t="s">
        <v>1873</v>
      </c>
      <c r="F1446" s="11" t="s">
        <v>502</v>
      </c>
      <c r="G1446" s="19">
        <v>114120</v>
      </c>
    </row>
    <row r="1447" spans="1:7">
      <c r="A1447" s="11" t="s">
        <v>144</v>
      </c>
      <c r="B1447" s="11" t="s">
        <v>150</v>
      </c>
      <c r="C1447" s="11" t="s">
        <v>151</v>
      </c>
      <c r="D1447" s="18">
        <v>45932</v>
      </c>
      <c r="E1447" s="11" t="s">
        <v>1873</v>
      </c>
      <c r="F1447" s="11" t="s">
        <v>502</v>
      </c>
      <c r="G1447" s="19">
        <v>-70600</v>
      </c>
    </row>
    <row r="1448" spans="1:7">
      <c r="A1448" s="11" t="s">
        <v>144</v>
      </c>
      <c r="B1448" s="11" t="s">
        <v>147</v>
      </c>
      <c r="C1448" s="11" t="s">
        <v>25</v>
      </c>
      <c r="D1448" s="18">
        <v>45932</v>
      </c>
      <c r="E1448" s="11" t="s">
        <v>1873</v>
      </c>
      <c r="F1448" s="11" t="s">
        <v>502</v>
      </c>
      <c r="G1448" s="19">
        <v>-76080</v>
      </c>
    </row>
    <row r="1449" spans="1:7">
      <c r="A1449" s="11" t="s">
        <v>28</v>
      </c>
      <c r="B1449" s="11" t="s">
        <v>123</v>
      </c>
      <c r="C1449" s="11" t="s">
        <v>120</v>
      </c>
      <c r="D1449" s="18">
        <v>45932</v>
      </c>
      <c r="E1449" s="11" t="s">
        <v>1873</v>
      </c>
      <c r="F1449" s="11" t="s">
        <v>502</v>
      </c>
      <c r="G1449" s="19">
        <v>-1703320</v>
      </c>
    </row>
    <row r="1450" spans="1:7">
      <c r="A1450" s="11" t="s">
        <v>22</v>
      </c>
      <c r="B1450" s="11" t="s">
        <v>121</v>
      </c>
      <c r="C1450" s="11" t="s">
        <v>122</v>
      </c>
      <c r="D1450" s="18">
        <v>45932</v>
      </c>
      <c r="E1450" s="11" t="s">
        <v>1873</v>
      </c>
      <c r="F1450" s="11" t="s">
        <v>502</v>
      </c>
      <c r="G1450" s="19">
        <v>93670</v>
      </c>
    </row>
    <row r="1451" spans="1:7">
      <c r="A1451" s="11" t="s">
        <v>22</v>
      </c>
      <c r="B1451" s="11" t="s">
        <v>119</v>
      </c>
      <c r="C1451" s="11" t="s">
        <v>120</v>
      </c>
      <c r="D1451" s="18">
        <v>45932</v>
      </c>
      <c r="E1451" s="11" t="s">
        <v>1873</v>
      </c>
      <c r="F1451" s="11" t="s">
        <v>502</v>
      </c>
      <c r="G1451" s="19">
        <v>3204060</v>
      </c>
    </row>
    <row r="1452" spans="1:7">
      <c r="A1452" s="11" t="s">
        <v>22</v>
      </c>
      <c r="B1452" s="11" t="s">
        <v>23</v>
      </c>
      <c r="C1452" s="11" t="s">
        <v>24</v>
      </c>
      <c r="D1452" s="18">
        <v>45932</v>
      </c>
      <c r="E1452" s="11" t="s">
        <v>1873</v>
      </c>
      <c r="F1452" s="11" t="s">
        <v>502</v>
      </c>
      <c r="G1452" s="19">
        <v>920000</v>
      </c>
    </row>
    <row r="1453" spans="1:7">
      <c r="A1453" s="11" t="s">
        <v>70</v>
      </c>
      <c r="B1453" s="11" t="s">
        <v>191</v>
      </c>
      <c r="C1453" s="11" t="s">
        <v>25</v>
      </c>
      <c r="D1453" s="18">
        <v>45932</v>
      </c>
      <c r="E1453" s="11" t="s">
        <v>1874</v>
      </c>
      <c r="F1453" s="11" t="s">
        <v>659</v>
      </c>
      <c r="G1453" s="19">
        <v>975000</v>
      </c>
    </row>
    <row r="1454" spans="1:7">
      <c r="A1454" s="11" t="s">
        <v>83</v>
      </c>
      <c r="B1454" s="11" t="s">
        <v>206</v>
      </c>
      <c r="C1454" s="11" t="s">
        <v>25</v>
      </c>
      <c r="D1454" s="18">
        <v>45932</v>
      </c>
      <c r="E1454" s="11" t="s">
        <v>1874</v>
      </c>
      <c r="F1454" s="11" t="s">
        <v>659</v>
      </c>
      <c r="G1454" s="19">
        <v>125000</v>
      </c>
    </row>
    <row r="1455" spans="1:7">
      <c r="A1455" s="11" t="s">
        <v>144</v>
      </c>
      <c r="B1455" s="11" t="s">
        <v>149</v>
      </c>
      <c r="C1455" s="11" t="s">
        <v>25</v>
      </c>
      <c r="D1455" s="18">
        <v>45932</v>
      </c>
      <c r="E1455" s="11" t="s">
        <v>1874</v>
      </c>
      <c r="F1455" s="11" t="s">
        <v>659</v>
      </c>
      <c r="G1455" s="19">
        <v>125000</v>
      </c>
    </row>
    <row r="1456" spans="1:7">
      <c r="A1456" s="11" t="s">
        <v>22</v>
      </c>
      <c r="B1456" s="11" t="s">
        <v>119</v>
      </c>
      <c r="C1456" s="11" t="s">
        <v>120</v>
      </c>
      <c r="D1456" s="18">
        <v>45932</v>
      </c>
      <c r="E1456" s="11" t="s">
        <v>1875</v>
      </c>
      <c r="F1456" s="11" t="s">
        <v>358</v>
      </c>
      <c r="G1456" s="19">
        <v>611800</v>
      </c>
    </row>
    <row r="1457" spans="1:7">
      <c r="A1457" s="11" t="s">
        <v>22</v>
      </c>
      <c r="B1457" s="11" t="s">
        <v>121</v>
      </c>
      <c r="C1457" s="11" t="s">
        <v>122</v>
      </c>
      <c r="D1457" s="18">
        <v>45932</v>
      </c>
      <c r="E1457" s="11" t="s">
        <v>1876</v>
      </c>
      <c r="F1457" s="11" t="s">
        <v>1877</v>
      </c>
      <c r="G1457" s="19">
        <v>4305000</v>
      </c>
    </row>
    <row r="1458" spans="1:7">
      <c r="A1458" s="11" t="s">
        <v>72</v>
      </c>
      <c r="B1458" s="11" t="s">
        <v>192</v>
      </c>
      <c r="C1458" s="11" t="s">
        <v>25</v>
      </c>
      <c r="D1458" s="18">
        <v>45932</v>
      </c>
      <c r="E1458" s="11" t="s">
        <v>1878</v>
      </c>
      <c r="F1458" s="11" t="s">
        <v>1879</v>
      </c>
      <c r="G1458" s="19">
        <v>100000</v>
      </c>
    </row>
    <row r="1459" spans="1:7">
      <c r="A1459" s="11" t="s">
        <v>22</v>
      </c>
      <c r="B1459" s="11" t="s">
        <v>121</v>
      </c>
      <c r="C1459" s="11" t="s">
        <v>122</v>
      </c>
      <c r="D1459" s="18">
        <v>45932</v>
      </c>
      <c r="E1459" s="11" t="s">
        <v>1880</v>
      </c>
      <c r="F1459" s="11" t="s">
        <v>1881</v>
      </c>
      <c r="G1459" s="19">
        <v>1525000</v>
      </c>
    </row>
    <row r="1460" spans="1:7">
      <c r="A1460" s="11" t="s">
        <v>72</v>
      </c>
      <c r="B1460" s="11" t="s">
        <v>192</v>
      </c>
      <c r="C1460" s="11" t="s">
        <v>25</v>
      </c>
      <c r="D1460" s="18">
        <v>45943</v>
      </c>
      <c r="E1460" s="11" t="s">
        <v>1882</v>
      </c>
      <c r="F1460" s="11" t="s">
        <v>1883</v>
      </c>
      <c r="G1460" s="19">
        <v>30000</v>
      </c>
    </row>
    <row r="1461" spans="1:7">
      <c r="A1461" s="11" t="s">
        <v>59</v>
      </c>
      <c r="B1461" s="11" t="s">
        <v>1884</v>
      </c>
      <c r="C1461" s="11" t="s">
        <v>120</v>
      </c>
      <c r="D1461" s="18">
        <v>45943</v>
      </c>
      <c r="E1461" s="11" t="s">
        <v>1885</v>
      </c>
      <c r="F1461" s="11" t="s">
        <v>1886</v>
      </c>
      <c r="G1461" s="19">
        <v>150000</v>
      </c>
    </row>
    <row r="1462" spans="1:7">
      <c r="A1462" s="11" t="s">
        <v>11</v>
      </c>
      <c r="B1462" s="11" t="s">
        <v>115</v>
      </c>
      <c r="C1462" s="11" t="s">
        <v>15</v>
      </c>
      <c r="D1462" s="18">
        <v>45943</v>
      </c>
      <c r="E1462" s="11" t="s">
        <v>1887</v>
      </c>
      <c r="F1462" s="11" t="s">
        <v>295</v>
      </c>
      <c r="G1462" s="19">
        <v>90000</v>
      </c>
    </row>
    <row r="1463" spans="1:7">
      <c r="A1463" s="11" t="s">
        <v>87</v>
      </c>
      <c r="B1463" s="11" t="s">
        <v>95</v>
      </c>
      <c r="C1463" s="11" t="s">
        <v>15</v>
      </c>
      <c r="D1463" s="18">
        <v>45943</v>
      </c>
      <c r="E1463" s="11" t="s">
        <v>1888</v>
      </c>
      <c r="F1463" s="11" t="s">
        <v>283</v>
      </c>
      <c r="G1463" s="19">
        <v>624450</v>
      </c>
    </row>
    <row r="1464" spans="1:7">
      <c r="A1464" s="11" t="s">
        <v>43</v>
      </c>
      <c r="B1464" s="11" t="s">
        <v>139</v>
      </c>
      <c r="C1464" s="11" t="s">
        <v>13</v>
      </c>
      <c r="D1464" s="18">
        <v>45943</v>
      </c>
      <c r="E1464" s="11" t="s">
        <v>1889</v>
      </c>
      <c r="F1464" s="11" t="s">
        <v>580</v>
      </c>
      <c r="G1464" s="19">
        <v>29700</v>
      </c>
    </row>
    <row r="1465" spans="1:7">
      <c r="A1465" s="11" t="s">
        <v>144</v>
      </c>
      <c r="B1465" s="11" t="s">
        <v>146</v>
      </c>
      <c r="C1465" s="11" t="s">
        <v>13</v>
      </c>
      <c r="D1465" s="18">
        <v>45943</v>
      </c>
      <c r="E1465" s="11" t="s">
        <v>1890</v>
      </c>
      <c r="F1465" s="11" t="s">
        <v>555</v>
      </c>
      <c r="G1465" s="19">
        <v>119160</v>
      </c>
    </row>
    <row r="1466" spans="1:7">
      <c r="A1466" s="11" t="s">
        <v>144</v>
      </c>
      <c r="B1466" s="11" t="s">
        <v>146</v>
      </c>
      <c r="C1466" s="11" t="s">
        <v>13</v>
      </c>
      <c r="D1466" s="18">
        <v>45943</v>
      </c>
      <c r="E1466" s="11" t="s">
        <v>1891</v>
      </c>
      <c r="F1466" s="11" t="s">
        <v>580</v>
      </c>
      <c r="G1466" s="19">
        <v>97200</v>
      </c>
    </row>
    <row r="1467" spans="1:7">
      <c r="A1467" s="11" t="s">
        <v>144</v>
      </c>
      <c r="B1467" s="11" t="s">
        <v>146</v>
      </c>
      <c r="C1467" s="11" t="s">
        <v>13</v>
      </c>
      <c r="D1467" s="18">
        <v>45943</v>
      </c>
      <c r="E1467" s="11" t="s">
        <v>1892</v>
      </c>
      <c r="F1467" s="11" t="s">
        <v>1893</v>
      </c>
      <c r="G1467" s="19">
        <v>783330</v>
      </c>
    </row>
    <row r="1468" spans="1:7">
      <c r="A1468" s="11" t="s">
        <v>173</v>
      </c>
      <c r="B1468" s="11" t="s">
        <v>180</v>
      </c>
      <c r="C1468" s="11" t="s">
        <v>13</v>
      </c>
      <c r="D1468" s="18">
        <v>45943</v>
      </c>
      <c r="E1468" s="11" t="s">
        <v>1894</v>
      </c>
      <c r="F1468" s="11" t="s">
        <v>283</v>
      </c>
      <c r="G1468" s="19">
        <v>366290</v>
      </c>
    </row>
    <row r="1469" spans="1:7">
      <c r="A1469" s="11" t="s">
        <v>28</v>
      </c>
      <c r="B1469" s="11" t="s">
        <v>127</v>
      </c>
      <c r="C1469" s="11" t="s">
        <v>15</v>
      </c>
      <c r="D1469" s="18">
        <v>45943</v>
      </c>
      <c r="E1469" s="11" t="s">
        <v>1895</v>
      </c>
      <c r="F1469" s="11" t="s">
        <v>1896</v>
      </c>
      <c r="G1469" s="19">
        <v>50000</v>
      </c>
    </row>
    <row r="1470" spans="1:7">
      <c r="A1470" s="11" t="s">
        <v>28</v>
      </c>
      <c r="B1470" s="11" t="s">
        <v>29</v>
      </c>
      <c r="C1470" s="11" t="s">
        <v>15</v>
      </c>
      <c r="D1470" s="18">
        <v>45943</v>
      </c>
      <c r="E1470" s="11" t="s">
        <v>1895</v>
      </c>
      <c r="F1470" s="11" t="s">
        <v>1896</v>
      </c>
      <c r="G1470" s="19">
        <v>190000</v>
      </c>
    </row>
    <row r="1471" spans="1:7">
      <c r="A1471" s="11" t="s">
        <v>173</v>
      </c>
      <c r="B1471" s="11" t="s">
        <v>180</v>
      </c>
      <c r="C1471" s="11" t="s">
        <v>13</v>
      </c>
      <c r="D1471" s="18">
        <v>45943</v>
      </c>
      <c r="E1471" s="11" t="s">
        <v>1897</v>
      </c>
      <c r="F1471" s="11" t="s">
        <v>283</v>
      </c>
      <c r="G1471" s="19">
        <v>70700</v>
      </c>
    </row>
    <row r="1472" spans="1:7">
      <c r="A1472" s="11" t="s">
        <v>144</v>
      </c>
      <c r="B1472" s="11" t="s">
        <v>146</v>
      </c>
      <c r="C1472" s="11" t="s">
        <v>13</v>
      </c>
      <c r="D1472" s="18">
        <v>45943</v>
      </c>
      <c r="E1472" s="11" t="s">
        <v>1898</v>
      </c>
      <c r="F1472" s="11" t="s">
        <v>845</v>
      </c>
      <c r="G1472" s="19">
        <v>1020450</v>
      </c>
    </row>
    <row r="1473" spans="1:7">
      <c r="A1473" s="11" t="s">
        <v>43</v>
      </c>
      <c r="B1473" s="11" t="s">
        <v>139</v>
      </c>
      <c r="C1473" s="11" t="s">
        <v>13</v>
      </c>
      <c r="D1473" s="18">
        <v>45943</v>
      </c>
      <c r="E1473" s="11" t="s">
        <v>1899</v>
      </c>
      <c r="F1473" s="11" t="s">
        <v>1900</v>
      </c>
      <c r="G1473" s="19">
        <v>91500</v>
      </c>
    </row>
    <row r="1474" spans="1:7">
      <c r="A1474" s="11" t="s">
        <v>11</v>
      </c>
      <c r="B1474" s="11" t="s">
        <v>114</v>
      </c>
      <c r="C1474" s="11" t="s">
        <v>14</v>
      </c>
      <c r="D1474" s="18">
        <v>45943</v>
      </c>
      <c r="E1474" s="11" t="s">
        <v>1901</v>
      </c>
      <c r="F1474" s="11" t="s">
        <v>228</v>
      </c>
      <c r="G1474" s="19">
        <v>180000</v>
      </c>
    </row>
    <row r="1475" spans="1:7">
      <c r="A1475" s="11" t="s">
        <v>104</v>
      </c>
      <c r="B1475" s="11" t="s">
        <v>108</v>
      </c>
      <c r="C1475" s="11" t="s">
        <v>12</v>
      </c>
      <c r="D1475" s="18">
        <v>45943</v>
      </c>
      <c r="E1475" s="11" t="s">
        <v>1902</v>
      </c>
      <c r="F1475" s="11" t="s">
        <v>285</v>
      </c>
      <c r="G1475" s="19">
        <v>9000</v>
      </c>
    </row>
    <row r="1476" spans="1:7">
      <c r="A1476" s="11" t="s">
        <v>101</v>
      </c>
      <c r="B1476" s="11" t="s">
        <v>211</v>
      </c>
      <c r="C1476" s="11" t="s">
        <v>14</v>
      </c>
      <c r="D1476" s="18">
        <v>45943</v>
      </c>
      <c r="E1476" s="11" t="s">
        <v>1903</v>
      </c>
      <c r="F1476" s="11" t="s">
        <v>1904</v>
      </c>
      <c r="G1476" s="19">
        <v>196000</v>
      </c>
    </row>
    <row r="1477" spans="1:7">
      <c r="A1477" s="11" t="s">
        <v>11</v>
      </c>
      <c r="B1477" s="11" t="s">
        <v>115</v>
      </c>
      <c r="C1477" s="11" t="s">
        <v>15</v>
      </c>
      <c r="D1477" s="18">
        <v>45943</v>
      </c>
      <c r="E1477" s="11" t="s">
        <v>1905</v>
      </c>
      <c r="F1477" s="11" t="s">
        <v>586</v>
      </c>
      <c r="G1477" s="19">
        <v>97180</v>
      </c>
    </row>
    <row r="1478" spans="1:7">
      <c r="A1478" s="11" t="s">
        <v>87</v>
      </c>
      <c r="B1478" s="11" t="s">
        <v>95</v>
      </c>
      <c r="C1478" s="11" t="s">
        <v>15</v>
      </c>
      <c r="D1478" s="18">
        <v>45943</v>
      </c>
      <c r="E1478" s="11" t="s">
        <v>1906</v>
      </c>
      <c r="F1478" s="11" t="s">
        <v>283</v>
      </c>
      <c r="G1478" s="19">
        <v>95200</v>
      </c>
    </row>
    <row r="1479" spans="1:7">
      <c r="A1479" s="11" t="s">
        <v>173</v>
      </c>
      <c r="B1479" s="11" t="s">
        <v>180</v>
      </c>
      <c r="C1479" s="11" t="s">
        <v>13</v>
      </c>
      <c r="D1479" s="18">
        <v>45943</v>
      </c>
      <c r="E1479" s="11" t="s">
        <v>1907</v>
      </c>
      <c r="F1479" s="11" t="s">
        <v>751</v>
      </c>
      <c r="G1479" s="19">
        <v>1490500</v>
      </c>
    </row>
    <row r="1480" spans="1:7">
      <c r="A1480" s="11" t="s">
        <v>173</v>
      </c>
      <c r="B1480" s="11" t="s">
        <v>180</v>
      </c>
      <c r="C1480" s="11" t="s">
        <v>13</v>
      </c>
      <c r="D1480" s="18">
        <v>45943</v>
      </c>
      <c r="E1480" s="11" t="s">
        <v>1908</v>
      </c>
      <c r="F1480" s="11" t="s">
        <v>295</v>
      </c>
      <c r="G1480" s="19">
        <v>57600</v>
      </c>
    </row>
    <row r="1481" spans="1:7">
      <c r="A1481" s="11" t="s">
        <v>144</v>
      </c>
      <c r="B1481" s="11" t="s">
        <v>153</v>
      </c>
      <c r="C1481" s="11" t="s">
        <v>13</v>
      </c>
      <c r="D1481" s="18">
        <v>45943</v>
      </c>
      <c r="E1481" s="11" t="s">
        <v>1909</v>
      </c>
      <c r="F1481" s="11" t="s">
        <v>295</v>
      </c>
      <c r="G1481" s="19">
        <v>87600</v>
      </c>
    </row>
    <row r="1482" spans="1:7">
      <c r="A1482" s="11" t="s">
        <v>11</v>
      </c>
      <c r="B1482" s="11" t="s">
        <v>112</v>
      </c>
      <c r="C1482" s="11" t="s">
        <v>12</v>
      </c>
      <c r="D1482" s="18">
        <v>45943</v>
      </c>
      <c r="E1482" s="11" t="s">
        <v>1910</v>
      </c>
      <c r="F1482" s="11" t="s">
        <v>502</v>
      </c>
      <c r="G1482" s="19">
        <v>25000</v>
      </c>
    </row>
    <row r="1483" spans="1:7">
      <c r="A1483" s="11" t="s">
        <v>173</v>
      </c>
      <c r="B1483" s="11" t="s">
        <v>180</v>
      </c>
      <c r="C1483" s="11" t="s">
        <v>13</v>
      </c>
      <c r="D1483" s="18">
        <v>45943</v>
      </c>
      <c r="E1483" s="11" t="s">
        <v>1911</v>
      </c>
      <c r="F1483" s="11" t="s">
        <v>283</v>
      </c>
      <c r="G1483" s="19">
        <v>624660</v>
      </c>
    </row>
    <row r="1484" spans="1:7">
      <c r="A1484" s="11" t="s">
        <v>130</v>
      </c>
      <c r="B1484" s="11" t="s">
        <v>131</v>
      </c>
      <c r="C1484" s="11" t="s">
        <v>34</v>
      </c>
      <c r="D1484" s="18">
        <v>45943</v>
      </c>
      <c r="E1484" s="11" t="s">
        <v>1912</v>
      </c>
      <c r="F1484" s="11" t="s">
        <v>283</v>
      </c>
      <c r="G1484" s="19">
        <v>345430</v>
      </c>
    </row>
    <row r="1485" spans="1:7">
      <c r="A1485" s="11" t="s">
        <v>144</v>
      </c>
      <c r="B1485" s="11" t="s">
        <v>146</v>
      </c>
      <c r="C1485" s="11" t="s">
        <v>13</v>
      </c>
      <c r="D1485" s="18">
        <v>45943</v>
      </c>
      <c r="E1485" s="11" t="s">
        <v>1913</v>
      </c>
      <c r="F1485" s="11" t="s">
        <v>283</v>
      </c>
      <c r="G1485" s="19">
        <v>18350</v>
      </c>
    </row>
    <row r="1486" spans="1:7">
      <c r="A1486" s="11" t="s">
        <v>43</v>
      </c>
      <c r="B1486" s="11" t="s">
        <v>139</v>
      </c>
      <c r="C1486" s="11" t="s">
        <v>13</v>
      </c>
      <c r="D1486" s="18">
        <v>45943</v>
      </c>
      <c r="E1486" s="11" t="s">
        <v>1914</v>
      </c>
      <c r="F1486" s="11" t="s">
        <v>1915</v>
      </c>
      <c r="G1486" s="19">
        <v>14000</v>
      </c>
    </row>
    <row r="1487" spans="1:7">
      <c r="A1487" s="11" t="s">
        <v>104</v>
      </c>
      <c r="B1487" s="11" t="s">
        <v>108</v>
      </c>
      <c r="C1487" s="11" t="s">
        <v>12</v>
      </c>
      <c r="D1487" s="18">
        <v>45943</v>
      </c>
      <c r="E1487" s="11" t="s">
        <v>1916</v>
      </c>
      <c r="F1487" s="11" t="s">
        <v>285</v>
      </c>
      <c r="G1487" s="19">
        <v>9000</v>
      </c>
    </row>
    <row r="1488" spans="1:7">
      <c r="A1488" s="11" t="s">
        <v>43</v>
      </c>
      <c r="B1488" s="11" t="s">
        <v>139</v>
      </c>
      <c r="C1488" s="11" t="s">
        <v>13</v>
      </c>
      <c r="D1488" s="18">
        <v>45943</v>
      </c>
      <c r="E1488" s="11" t="s">
        <v>1917</v>
      </c>
      <c r="F1488" s="11" t="s">
        <v>283</v>
      </c>
      <c r="G1488" s="19">
        <v>34520</v>
      </c>
    </row>
    <row r="1489" spans="1:7">
      <c r="A1489" s="11" t="s">
        <v>43</v>
      </c>
      <c r="B1489" s="11" t="s">
        <v>139</v>
      </c>
      <c r="C1489" s="11" t="s">
        <v>13</v>
      </c>
      <c r="D1489" s="18">
        <v>45943</v>
      </c>
      <c r="E1489" s="11" t="s">
        <v>1918</v>
      </c>
      <c r="F1489" s="11" t="s">
        <v>1919</v>
      </c>
      <c r="G1489" s="19">
        <v>20900</v>
      </c>
    </row>
    <row r="1490" spans="1:7">
      <c r="A1490" s="11" t="s">
        <v>43</v>
      </c>
      <c r="B1490" s="11" t="s">
        <v>139</v>
      </c>
      <c r="C1490" s="11" t="s">
        <v>34</v>
      </c>
      <c r="D1490" s="18">
        <v>45943</v>
      </c>
      <c r="E1490" s="11" t="s">
        <v>1918</v>
      </c>
      <c r="F1490" s="11" t="s">
        <v>1919</v>
      </c>
      <c r="G1490" s="19">
        <v>88500</v>
      </c>
    </row>
    <row r="1491" spans="1:7">
      <c r="A1491" s="11" t="s">
        <v>173</v>
      </c>
      <c r="B1491" s="11" t="s">
        <v>180</v>
      </c>
      <c r="C1491" s="11" t="s">
        <v>13</v>
      </c>
      <c r="D1491" s="18">
        <v>45943</v>
      </c>
      <c r="E1491" s="11" t="s">
        <v>1920</v>
      </c>
      <c r="F1491" s="11" t="s">
        <v>295</v>
      </c>
      <c r="G1491" s="19">
        <v>154500</v>
      </c>
    </row>
    <row r="1492" spans="1:7">
      <c r="A1492" s="11" t="s">
        <v>104</v>
      </c>
      <c r="B1492" s="11" t="s">
        <v>108</v>
      </c>
      <c r="C1492" s="11" t="s">
        <v>12</v>
      </c>
      <c r="D1492" s="18">
        <v>45943</v>
      </c>
      <c r="E1492" s="11" t="s">
        <v>1921</v>
      </c>
      <c r="F1492" s="11" t="s">
        <v>285</v>
      </c>
      <c r="G1492" s="19">
        <v>9000</v>
      </c>
    </row>
    <row r="1493" spans="1:7">
      <c r="A1493" s="11" t="s">
        <v>144</v>
      </c>
      <c r="B1493" s="11" t="s">
        <v>49</v>
      </c>
      <c r="C1493" s="11" t="s">
        <v>50</v>
      </c>
      <c r="D1493" s="18">
        <v>45943</v>
      </c>
      <c r="E1493" s="11" t="s">
        <v>1922</v>
      </c>
      <c r="F1493" s="11" t="s">
        <v>283</v>
      </c>
      <c r="G1493" s="19">
        <v>222430</v>
      </c>
    </row>
    <row r="1494" spans="1:7">
      <c r="A1494" s="11" t="s">
        <v>104</v>
      </c>
      <c r="B1494" s="11" t="s">
        <v>214</v>
      </c>
      <c r="C1494" s="11" t="s">
        <v>12</v>
      </c>
      <c r="D1494" s="18">
        <v>45943</v>
      </c>
      <c r="E1494" s="11" t="s">
        <v>1923</v>
      </c>
      <c r="F1494" s="11" t="s">
        <v>460</v>
      </c>
      <c r="G1494" s="19">
        <v>27000</v>
      </c>
    </row>
    <row r="1495" spans="1:7">
      <c r="A1495" s="11" t="s">
        <v>11</v>
      </c>
      <c r="B1495" s="11" t="s">
        <v>115</v>
      </c>
      <c r="C1495" s="11" t="s">
        <v>14</v>
      </c>
      <c r="D1495" s="18">
        <v>45943</v>
      </c>
      <c r="E1495" s="11" t="s">
        <v>1924</v>
      </c>
      <c r="F1495" s="11" t="s">
        <v>600</v>
      </c>
      <c r="G1495" s="19">
        <v>76600</v>
      </c>
    </row>
    <row r="1496" spans="1:7">
      <c r="A1496" s="11" t="s">
        <v>144</v>
      </c>
      <c r="B1496" s="11" t="s">
        <v>146</v>
      </c>
      <c r="C1496" s="11" t="s">
        <v>13</v>
      </c>
      <c r="D1496" s="18">
        <v>45943</v>
      </c>
      <c r="E1496" s="11" t="s">
        <v>1925</v>
      </c>
      <c r="F1496" s="11" t="s">
        <v>295</v>
      </c>
      <c r="G1496" s="19">
        <v>7000</v>
      </c>
    </row>
    <row r="1497" spans="1:7">
      <c r="A1497" s="11" t="s">
        <v>144</v>
      </c>
      <c r="B1497" s="11" t="s">
        <v>146</v>
      </c>
      <c r="C1497" s="11" t="s">
        <v>13</v>
      </c>
      <c r="D1497" s="18">
        <v>45943</v>
      </c>
      <c r="E1497" s="11" t="s">
        <v>1926</v>
      </c>
      <c r="F1497" s="11" t="s">
        <v>295</v>
      </c>
      <c r="G1497" s="19">
        <v>108700</v>
      </c>
    </row>
    <row r="1498" spans="1:7">
      <c r="A1498" s="11" t="s">
        <v>28</v>
      </c>
      <c r="B1498" s="11" t="s">
        <v>125</v>
      </c>
      <c r="C1498" s="11" t="s">
        <v>32</v>
      </c>
      <c r="D1498" s="18">
        <v>45944</v>
      </c>
      <c r="E1498" s="11" t="s">
        <v>1927</v>
      </c>
      <c r="F1498" s="11" t="s">
        <v>687</v>
      </c>
      <c r="G1498" s="19">
        <v>121000</v>
      </c>
    </row>
    <row r="1499" spans="1:7">
      <c r="A1499" s="11" t="s">
        <v>104</v>
      </c>
      <c r="B1499" s="11" t="s">
        <v>108</v>
      </c>
      <c r="C1499" s="11" t="s">
        <v>15</v>
      </c>
      <c r="D1499" s="18">
        <v>45945</v>
      </c>
      <c r="E1499" s="11" t="s">
        <v>1928</v>
      </c>
      <c r="F1499" s="11" t="s">
        <v>255</v>
      </c>
      <c r="G1499" s="19">
        <v>33000</v>
      </c>
    </row>
    <row r="1500" spans="1:7">
      <c r="A1500" s="11" t="s">
        <v>173</v>
      </c>
      <c r="B1500" s="11" t="s">
        <v>182</v>
      </c>
      <c r="C1500" s="11" t="s">
        <v>25</v>
      </c>
      <c r="D1500" s="18">
        <v>45945</v>
      </c>
      <c r="E1500" s="11" t="s">
        <v>1929</v>
      </c>
      <c r="F1500" s="11" t="s">
        <v>538</v>
      </c>
      <c r="G1500" s="19">
        <v>1561300</v>
      </c>
    </row>
    <row r="1501" spans="1:7">
      <c r="A1501" s="11" t="s">
        <v>62</v>
      </c>
      <c r="B1501" s="11" t="s">
        <v>172</v>
      </c>
      <c r="C1501" s="11" t="s">
        <v>25</v>
      </c>
      <c r="D1501" s="18">
        <v>45945</v>
      </c>
      <c r="E1501" s="11" t="s">
        <v>1929</v>
      </c>
      <c r="F1501" s="11" t="s">
        <v>538</v>
      </c>
      <c r="G1501" s="19">
        <v>2649460</v>
      </c>
    </row>
    <row r="1502" spans="1:7">
      <c r="A1502" s="11" t="s">
        <v>62</v>
      </c>
      <c r="B1502" s="11" t="s">
        <v>171</v>
      </c>
      <c r="C1502" s="11" t="s">
        <v>25</v>
      </c>
      <c r="D1502" s="18">
        <v>45945</v>
      </c>
      <c r="E1502" s="11" t="s">
        <v>1929</v>
      </c>
      <c r="F1502" s="11" t="s">
        <v>538</v>
      </c>
      <c r="G1502" s="19">
        <v>27156270</v>
      </c>
    </row>
    <row r="1503" spans="1:7">
      <c r="A1503" s="11" t="s">
        <v>28</v>
      </c>
      <c r="B1503" s="11" t="s">
        <v>125</v>
      </c>
      <c r="C1503" s="11" t="s">
        <v>15</v>
      </c>
      <c r="D1503" s="18">
        <v>45945</v>
      </c>
      <c r="E1503" s="11" t="s">
        <v>1930</v>
      </c>
      <c r="F1503" s="11" t="s">
        <v>838</v>
      </c>
      <c r="G1503" s="19">
        <v>412500</v>
      </c>
    </row>
    <row r="1504" spans="1:7">
      <c r="A1504" s="11" t="s">
        <v>75</v>
      </c>
      <c r="B1504" s="11" t="s">
        <v>76</v>
      </c>
      <c r="C1504" s="11" t="s">
        <v>13</v>
      </c>
      <c r="D1504" s="18">
        <v>45945</v>
      </c>
      <c r="E1504" s="11" t="s">
        <v>1931</v>
      </c>
      <c r="F1504" s="11" t="s">
        <v>535</v>
      </c>
      <c r="G1504" s="19">
        <v>132000</v>
      </c>
    </row>
    <row r="1505" spans="1:7">
      <c r="A1505" s="11" t="s">
        <v>28</v>
      </c>
      <c r="B1505" s="11" t="s">
        <v>29</v>
      </c>
      <c r="C1505" s="11" t="s">
        <v>15</v>
      </c>
      <c r="D1505" s="18">
        <v>45945</v>
      </c>
      <c r="E1505" s="11" t="s">
        <v>1932</v>
      </c>
      <c r="F1505" s="11" t="s">
        <v>1933</v>
      </c>
      <c r="G1505" s="19">
        <v>55000</v>
      </c>
    </row>
    <row r="1506" spans="1:7">
      <c r="A1506" s="11" t="s">
        <v>72</v>
      </c>
      <c r="B1506" s="11" t="s">
        <v>192</v>
      </c>
      <c r="C1506" s="11" t="s">
        <v>25</v>
      </c>
      <c r="D1506" s="18">
        <v>45946</v>
      </c>
      <c r="E1506" s="11" t="s">
        <v>1934</v>
      </c>
      <c r="F1506" s="11" t="s">
        <v>1935</v>
      </c>
      <c r="G1506" s="19">
        <v>150000</v>
      </c>
    </row>
    <row r="1507" spans="1:7">
      <c r="A1507" s="11" t="s">
        <v>43</v>
      </c>
      <c r="B1507" s="11" t="s">
        <v>139</v>
      </c>
      <c r="C1507" s="11" t="s">
        <v>25</v>
      </c>
      <c r="D1507" s="18">
        <v>45946</v>
      </c>
      <c r="E1507" s="11" t="s">
        <v>1936</v>
      </c>
      <c r="F1507" s="11" t="s">
        <v>940</v>
      </c>
      <c r="G1507" s="19">
        <v>860000</v>
      </c>
    </row>
    <row r="1508" spans="1:7">
      <c r="A1508" s="11" t="s">
        <v>54</v>
      </c>
      <c r="B1508" s="11" t="s">
        <v>1721</v>
      </c>
      <c r="C1508" s="11" t="s">
        <v>120</v>
      </c>
      <c r="D1508" s="18">
        <v>45947</v>
      </c>
      <c r="E1508" s="11" t="s">
        <v>1937</v>
      </c>
      <c r="F1508" s="11" t="s">
        <v>249</v>
      </c>
      <c r="G1508" s="19">
        <v>120000</v>
      </c>
    </row>
    <row r="1509" spans="1:7">
      <c r="A1509" s="11" t="s">
        <v>54</v>
      </c>
      <c r="B1509" s="11" t="s">
        <v>1694</v>
      </c>
      <c r="C1509" s="11" t="s">
        <v>120</v>
      </c>
      <c r="D1509" s="18">
        <v>45947</v>
      </c>
      <c r="E1509" s="11" t="s">
        <v>1937</v>
      </c>
      <c r="F1509" s="11" t="s">
        <v>249</v>
      </c>
      <c r="G1509" s="19">
        <v>2416000</v>
      </c>
    </row>
    <row r="1510" spans="1:7">
      <c r="A1510" s="11" t="s">
        <v>130</v>
      </c>
      <c r="B1510" s="11" t="s">
        <v>36</v>
      </c>
      <c r="C1510" s="11" t="s">
        <v>15</v>
      </c>
      <c r="D1510" s="18">
        <v>45947</v>
      </c>
      <c r="E1510" s="11" t="s">
        <v>1938</v>
      </c>
      <c r="F1510" s="11" t="s">
        <v>1939</v>
      </c>
      <c r="G1510" s="19">
        <v>240000</v>
      </c>
    </row>
    <row r="1511" spans="1:7">
      <c r="A1511" s="11" t="s">
        <v>104</v>
      </c>
      <c r="B1511" s="11" t="s">
        <v>108</v>
      </c>
      <c r="C1511" s="11" t="s">
        <v>15</v>
      </c>
      <c r="D1511" s="18">
        <v>45947</v>
      </c>
      <c r="E1511" s="11" t="s">
        <v>1940</v>
      </c>
      <c r="F1511" s="11" t="s">
        <v>255</v>
      </c>
      <c r="G1511" s="19">
        <v>1980</v>
      </c>
    </row>
    <row r="1512" spans="1:7">
      <c r="A1512" s="11" t="s">
        <v>75</v>
      </c>
      <c r="B1512" s="11" t="s">
        <v>195</v>
      </c>
      <c r="C1512" s="11" t="s">
        <v>15</v>
      </c>
      <c r="D1512" s="18">
        <v>45950</v>
      </c>
      <c r="E1512" s="11" t="s">
        <v>1941</v>
      </c>
      <c r="F1512" s="11" t="s">
        <v>225</v>
      </c>
      <c r="G1512" s="19">
        <v>297000</v>
      </c>
    </row>
    <row r="1513" spans="1:7">
      <c r="A1513" s="11" t="s">
        <v>87</v>
      </c>
      <c r="B1513" s="11" t="s">
        <v>94</v>
      </c>
      <c r="C1513" s="11" t="s">
        <v>15</v>
      </c>
      <c r="D1513" s="18">
        <v>45950</v>
      </c>
      <c r="E1513" s="11" t="s">
        <v>1942</v>
      </c>
      <c r="F1513" s="11" t="s">
        <v>308</v>
      </c>
      <c r="G1513" s="19">
        <v>84700</v>
      </c>
    </row>
    <row r="1514" spans="1:7">
      <c r="A1514" s="11" t="s">
        <v>72</v>
      </c>
      <c r="B1514" s="11" t="s">
        <v>192</v>
      </c>
      <c r="C1514" s="11" t="s">
        <v>34</v>
      </c>
      <c r="D1514" s="18">
        <v>45950</v>
      </c>
      <c r="E1514" s="11" t="s">
        <v>1943</v>
      </c>
      <c r="F1514" s="11" t="s">
        <v>558</v>
      </c>
      <c r="G1514" s="19">
        <v>41520</v>
      </c>
    </row>
    <row r="1515" spans="1:7">
      <c r="A1515" s="11" t="s">
        <v>173</v>
      </c>
      <c r="B1515" s="11" t="s">
        <v>181</v>
      </c>
      <c r="C1515" s="11" t="s">
        <v>15</v>
      </c>
      <c r="D1515" s="18">
        <v>45950</v>
      </c>
      <c r="E1515" s="11" t="s">
        <v>1944</v>
      </c>
      <c r="F1515" s="11" t="s">
        <v>283</v>
      </c>
      <c r="G1515" s="19">
        <v>23420</v>
      </c>
    </row>
    <row r="1516" spans="1:7">
      <c r="A1516" s="11" t="s">
        <v>43</v>
      </c>
      <c r="B1516" s="11" t="s">
        <v>139</v>
      </c>
      <c r="C1516" s="11" t="s">
        <v>13</v>
      </c>
      <c r="D1516" s="18">
        <v>45950</v>
      </c>
      <c r="E1516" s="11" t="s">
        <v>1945</v>
      </c>
      <c r="F1516" s="11" t="s">
        <v>283</v>
      </c>
      <c r="G1516" s="19">
        <v>127690</v>
      </c>
    </row>
    <row r="1517" spans="1:7">
      <c r="A1517" s="11" t="s">
        <v>11</v>
      </c>
      <c r="B1517" s="11" t="s">
        <v>115</v>
      </c>
      <c r="C1517" s="11" t="s">
        <v>14</v>
      </c>
      <c r="D1517" s="18">
        <v>45950</v>
      </c>
      <c r="E1517" s="11" t="s">
        <v>1946</v>
      </c>
      <c r="F1517" s="11" t="s">
        <v>1345</v>
      </c>
      <c r="G1517" s="19">
        <v>79800</v>
      </c>
    </row>
    <row r="1518" spans="1:7">
      <c r="A1518" s="11" t="s">
        <v>104</v>
      </c>
      <c r="B1518" s="11" t="s">
        <v>108</v>
      </c>
      <c r="C1518" s="11" t="s">
        <v>12</v>
      </c>
      <c r="D1518" s="18">
        <v>45950</v>
      </c>
      <c r="E1518" s="11" t="s">
        <v>1947</v>
      </c>
      <c r="F1518" s="11" t="s">
        <v>285</v>
      </c>
      <c r="G1518" s="19">
        <v>9000</v>
      </c>
    </row>
    <row r="1519" spans="1:7">
      <c r="A1519" s="11" t="s">
        <v>72</v>
      </c>
      <c r="B1519" s="11" t="s">
        <v>192</v>
      </c>
      <c r="C1519" s="11" t="s">
        <v>34</v>
      </c>
      <c r="D1519" s="18">
        <v>45950</v>
      </c>
      <c r="E1519" s="11" t="s">
        <v>1948</v>
      </c>
      <c r="F1519" s="11" t="s">
        <v>283</v>
      </c>
      <c r="G1519" s="19">
        <v>15000</v>
      </c>
    </row>
    <row r="1520" spans="1:7">
      <c r="A1520" s="11" t="s">
        <v>173</v>
      </c>
      <c r="B1520" s="11" t="s">
        <v>180</v>
      </c>
      <c r="C1520" s="11" t="s">
        <v>13</v>
      </c>
      <c r="D1520" s="18">
        <v>45950</v>
      </c>
      <c r="E1520" s="11" t="s">
        <v>1949</v>
      </c>
      <c r="F1520" s="11" t="s">
        <v>267</v>
      </c>
      <c r="G1520" s="19">
        <v>465200</v>
      </c>
    </row>
    <row r="1521" spans="1:7">
      <c r="A1521" s="11" t="s">
        <v>104</v>
      </c>
      <c r="B1521" s="11" t="s">
        <v>108</v>
      </c>
      <c r="C1521" s="11" t="s">
        <v>12</v>
      </c>
      <c r="D1521" s="18">
        <v>45950</v>
      </c>
      <c r="E1521" s="11" t="s">
        <v>1950</v>
      </c>
      <c r="F1521" s="11" t="s">
        <v>285</v>
      </c>
      <c r="G1521" s="19">
        <v>9000</v>
      </c>
    </row>
    <row r="1522" spans="1:7">
      <c r="A1522" s="11" t="s">
        <v>173</v>
      </c>
      <c r="B1522" s="11" t="s">
        <v>180</v>
      </c>
      <c r="C1522" s="11" t="s">
        <v>13</v>
      </c>
      <c r="D1522" s="18">
        <v>45950</v>
      </c>
      <c r="E1522" s="11" t="s">
        <v>1951</v>
      </c>
      <c r="F1522" s="11" t="s">
        <v>283</v>
      </c>
      <c r="G1522" s="19">
        <v>188070</v>
      </c>
    </row>
    <row r="1523" spans="1:7">
      <c r="A1523" s="11" t="s">
        <v>173</v>
      </c>
      <c r="B1523" s="11" t="s">
        <v>181</v>
      </c>
      <c r="C1523" s="11" t="s">
        <v>15</v>
      </c>
      <c r="D1523" s="18">
        <v>45950</v>
      </c>
      <c r="E1523" s="11" t="s">
        <v>1952</v>
      </c>
      <c r="F1523" s="11" t="s">
        <v>283</v>
      </c>
      <c r="G1523" s="19">
        <v>195120</v>
      </c>
    </row>
    <row r="1524" spans="1:7">
      <c r="A1524" s="11" t="s">
        <v>55</v>
      </c>
      <c r="B1524" s="11" t="s">
        <v>165</v>
      </c>
      <c r="C1524" s="11" t="s">
        <v>13</v>
      </c>
      <c r="D1524" s="18">
        <v>45950</v>
      </c>
      <c r="E1524" s="11" t="s">
        <v>1953</v>
      </c>
      <c r="F1524" s="11" t="s">
        <v>1468</v>
      </c>
      <c r="G1524" s="19">
        <v>165000</v>
      </c>
    </row>
    <row r="1525" spans="1:7">
      <c r="A1525" s="11" t="s">
        <v>104</v>
      </c>
      <c r="B1525" s="11" t="s">
        <v>108</v>
      </c>
      <c r="C1525" s="11" t="s">
        <v>12</v>
      </c>
      <c r="D1525" s="18">
        <v>45950</v>
      </c>
      <c r="E1525" s="11" t="s">
        <v>1954</v>
      </c>
      <c r="F1525" s="11" t="s">
        <v>285</v>
      </c>
      <c r="G1525" s="19">
        <v>9000</v>
      </c>
    </row>
    <row r="1526" spans="1:7">
      <c r="A1526" s="11" t="s">
        <v>55</v>
      </c>
      <c r="B1526" s="11" t="s">
        <v>165</v>
      </c>
      <c r="C1526" s="11" t="s">
        <v>13</v>
      </c>
      <c r="D1526" s="18">
        <v>45950</v>
      </c>
      <c r="E1526" s="11" t="s">
        <v>1955</v>
      </c>
      <c r="F1526" s="11" t="s">
        <v>1529</v>
      </c>
      <c r="G1526" s="19">
        <v>90300</v>
      </c>
    </row>
    <row r="1527" spans="1:7">
      <c r="A1527" s="11" t="s">
        <v>104</v>
      </c>
      <c r="B1527" s="11" t="s">
        <v>108</v>
      </c>
      <c r="C1527" s="11" t="s">
        <v>12</v>
      </c>
      <c r="D1527" s="18">
        <v>45950</v>
      </c>
      <c r="E1527" s="11" t="s">
        <v>1956</v>
      </c>
      <c r="F1527" s="11" t="s">
        <v>285</v>
      </c>
      <c r="G1527" s="19">
        <v>9000</v>
      </c>
    </row>
    <row r="1528" spans="1:7">
      <c r="A1528" s="11" t="s">
        <v>11</v>
      </c>
      <c r="B1528" s="11" t="s">
        <v>114</v>
      </c>
      <c r="C1528" s="11" t="s">
        <v>14</v>
      </c>
      <c r="D1528" s="18">
        <v>45950</v>
      </c>
      <c r="E1528" s="11" t="s">
        <v>1957</v>
      </c>
      <c r="F1528" s="11" t="s">
        <v>1000</v>
      </c>
      <c r="G1528" s="19">
        <v>240000</v>
      </c>
    </row>
    <row r="1529" spans="1:7">
      <c r="A1529" s="11" t="s">
        <v>144</v>
      </c>
      <c r="B1529" s="11" t="s">
        <v>153</v>
      </c>
      <c r="C1529" s="11" t="s">
        <v>13</v>
      </c>
      <c r="D1529" s="18">
        <v>45950</v>
      </c>
      <c r="E1529" s="11" t="s">
        <v>1958</v>
      </c>
      <c r="F1529" s="11" t="s">
        <v>295</v>
      </c>
      <c r="G1529" s="19">
        <v>145900</v>
      </c>
    </row>
    <row r="1530" spans="1:7">
      <c r="A1530" s="11" t="s">
        <v>11</v>
      </c>
      <c r="B1530" s="11" t="s">
        <v>115</v>
      </c>
      <c r="C1530" s="11" t="s">
        <v>14</v>
      </c>
      <c r="D1530" s="18">
        <v>45950</v>
      </c>
      <c r="E1530" s="11" t="s">
        <v>1959</v>
      </c>
      <c r="F1530" s="11" t="s">
        <v>600</v>
      </c>
      <c r="G1530" s="19">
        <v>39500</v>
      </c>
    </row>
    <row r="1531" spans="1:7">
      <c r="A1531" s="11" t="s">
        <v>87</v>
      </c>
      <c r="B1531" s="11" t="s">
        <v>94</v>
      </c>
      <c r="C1531" s="11" t="s">
        <v>15</v>
      </c>
      <c r="D1531" s="18">
        <v>45950</v>
      </c>
      <c r="E1531" s="11" t="s">
        <v>1960</v>
      </c>
      <c r="F1531" s="11" t="s">
        <v>257</v>
      </c>
      <c r="G1531" s="19">
        <v>407000</v>
      </c>
    </row>
    <row r="1532" spans="1:7">
      <c r="A1532" s="11" t="s">
        <v>28</v>
      </c>
      <c r="B1532" s="11" t="s">
        <v>123</v>
      </c>
      <c r="C1532" s="11" t="s">
        <v>120</v>
      </c>
      <c r="D1532" s="18">
        <v>45950</v>
      </c>
      <c r="E1532" s="11" t="s">
        <v>1961</v>
      </c>
      <c r="F1532" s="11" t="s">
        <v>1603</v>
      </c>
      <c r="G1532" s="19">
        <v>693230</v>
      </c>
    </row>
    <row r="1533" spans="1:7">
      <c r="A1533" s="11" t="s">
        <v>104</v>
      </c>
      <c r="B1533" s="11" t="s">
        <v>108</v>
      </c>
      <c r="C1533" s="11" t="s">
        <v>44</v>
      </c>
      <c r="D1533" s="18">
        <v>45951</v>
      </c>
      <c r="E1533" s="11" t="s">
        <v>1962</v>
      </c>
      <c r="F1533" s="11" t="s">
        <v>1963</v>
      </c>
      <c r="G1533" s="19">
        <v>540000</v>
      </c>
    </row>
    <row r="1534" spans="1:7">
      <c r="A1534" s="11" t="s">
        <v>55</v>
      </c>
      <c r="B1534" s="11" t="s">
        <v>165</v>
      </c>
      <c r="C1534" s="11" t="s">
        <v>44</v>
      </c>
      <c r="D1534" s="18">
        <v>45951</v>
      </c>
      <c r="E1534" s="11" t="s">
        <v>1962</v>
      </c>
      <c r="F1534" s="11" t="s">
        <v>1964</v>
      </c>
      <c r="G1534" s="19">
        <v>40000</v>
      </c>
    </row>
    <row r="1535" spans="1:7">
      <c r="A1535" s="11" t="s">
        <v>43</v>
      </c>
      <c r="B1535" s="11" t="s">
        <v>139</v>
      </c>
      <c r="C1535" s="11" t="s">
        <v>44</v>
      </c>
      <c r="D1535" s="18">
        <v>45951</v>
      </c>
      <c r="E1535" s="11" t="s">
        <v>1962</v>
      </c>
      <c r="F1535" s="11" t="s">
        <v>435</v>
      </c>
      <c r="G1535" s="19">
        <v>40000</v>
      </c>
    </row>
    <row r="1536" spans="1:7">
      <c r="A1536" s="11" t="s">
        <v>104</v>
      </c>
      <c r="B1536" s="11" t="s">
        <v>108</v>
      </c>
      <c r="C1536" s="11" t="s">
        <v>44</v>
      </c>
      <c r="D1536" s="18">
        <v>45951</v>
      </c>
      <c r="E1536" s="11" t="s">
        <v>1965</v>
      </c>
      <c r="F1536" s="11" t="s">
        <v>785</v>
      </c>
      <c r="G1536" s="19">
        <v>25000</v>
      </c>
    </row>
    <row r="1537" spans="1:7">
      <c r="A1537" s="11" t="s">
        <v>22</v>
      </c>
      <c r="B1537" s="11" t="s">
        <v>119</v>
      </c>
      <c r="C1537" s="11" t="s">
        <v>120</v>
      </c>
      <c r="D1537" s="18">
        <v>45951</v>
      </c>
      <c r="E1537" s="11" t="s">
        <v>1966</v>
      </c>
      <c r="F1537" s="11" t="s">
        <v>1444</v>
      </c>
      <c r="G1537" s="19">
        <v>48560</v>
      </c>
    </row>
    <row r="1538" spans="1:7">
      <c r="A1538" s="11" t="s">
        <v>173</v>
      </c>
      <c r="B1538" s="11" t="s">
        <v>181</v>
      </c>
      <c r="C1538" s="11" t="s">
        <v>15</v>
      </c>
      <c r="D1538" s="18">
        <v>45951</v>
      </c>
      <c r="E1538" s="11" t="s">
        <v>1967</v>
      </c>
      <c r="F1538" s="11" t="s">
        <v>1700</v>
      </c>
      <c r="G1538" s="19">
        <v>118800</v>
      </c>
    </row>
    <row r="1539" spans="1:7">
      <c r="A1539" s="11" t="s">
        <v>173</v>
      </c>
      <c r="B1539" s="11" t="s">
        <v>181</v>
      </c>
      <c r="C1539" s="11" t="s">
        <v>15</v>
      </c>
      <c r="D1539" s="18">
        <v>45951</v>
      </c>
      <c r="E1539" s="11" t="s">
        <v>1968</v>
      </c>
      <c r="F1539" s="11" t="s">
        <v>1969</v>
      </c>
      <c r="G1539" s="19">
        <v>292000</v>
      </c>
    </row>
    <row r="1540" spans="1:7">
      <c r="A1540" s="11" t="s">
        <v>87</v>
      </c>
      <c r="B1540" s="11" t="s">
        <v>88</v>
      </c>
      <c r="C1540" s="11" t="s">
        <v>92</v>
      </c>
      <c r="D1540" s="18">
        <v>45951</v>
      </c>
      <c r="E1540" s="11" t="s">
        <v>1970</v>
      </c>
      <c r="F1540" s="11" t="s">
        <v>224</v>
      </c>
      <c r="G1540" s="19">
        <v>11320</v>
      </c>
    </row>
    <row r="1541" spans="1:7">
      <c r="A1541" s="11" t="s">
        <v>104</v>
      </c>
      <c r="B1541" s="11" t="s">
        <v>108</v>
      </c>
      <c r="C1541" s="11" t="s">
        <v>15</v>
      </c>
      <c r="D1541" s="18">
        <v>45951</v>
      </c>
      <c r="E1541" s="11" t="s">
        <v>1971</v>
      </c>
      <c r="F1541" s="11" t="s">
        <v>255</v>
      </c>
      <c r="G1541" s="19">
        <v>360</v>
      </c>
    </row>
    <row r="1542" spans="1:7">
      <c r="A1542" s="11" t="s">
        <v>22</v>
      </c>
      <c r="B1542" s="11" t="s">
        <v>119</v>
      </c>
      <c r="C1542" s="11" t="s">
        <v>120</v>
      </c>
      <c r="D1542" s="18">
        <v>45952</v>
      </c>
      <c r="E1542" s="11" t="s">
        <v>1972</v>
      </c>
      <c r="F1542" s="11" t="s">
        <v>338</v>
      </c>
      <c r="G1542" s="19">
        <v>182100</v>
      </c>
    </row>
    <row r="1543" spans="1:7">
      <c r="A1543" s="11" t="s">
        <v>104</v>
      </c>
      <c r="B1543" s="11" t="s">
        <v>108</v>
      </c>
      <c r="C1543" s="11" t="s">
        <v>15</v>
      </c>
      <c r="D1543" s="18">
        <v>45952</v>
      </c>
      <c r="E1543" s="11" t="s">
        <v>1973</v>
      </c>
      <c r="F1543" s="11" t="s">
        <v>255</v>
      </c>
      <c r="G1543" s="19">
        <v>160</v>
      </c>
    </row>
    <row r="1544" spans="1:7">
      <c r="A1544" s="11" t="s">
        <v>144</v>
      </c>
      <c r="B1544" s="11" t="s">
        <v>153</v>
      </c>
      <c r="C1544" s="11" t="s">
        <v>25</v>
      </c>
      <c r="D1544" s="18">
        <v>45953</v>
      </c>
      <c r="E1544" s="11" t="s">
        <v>1974</v>
      </c>
      <c r="F1544" s="11" t="s">
        <v>1975</v>
      </c>
      <c r="G1544" s="19">
        <v>120000</v>
      </c>
    </row>
    <row r="1545" spans="1:7">
      <c r="A1545" s="11" t="s">
        <v>28</v>
      </c>
      <c r="B1545" s="11" t="s">
        <v>126</v>
      </c>
      <c r="C1545" s="11" t="s">
        <v>15</v>
      </c>
      <c r="D1545" s="18">
        <v>45954</v>
      </c>
      <c r="E1545" s="11" t="s">
        <v>1976</v>
      </c>
      <c r="F1545" s="11" t="s">
        <v>428</v>
      </c>
      <c r="G1545" s="19">
        <v>-9954770</v>
      </c>
    </row>
    <row r="1546" spans="1:7">
      <c r="A1546" s="11" t="s">
        <v>28</v>
      </c>
      <c r="B1546" s="11" t="s">
        <v>123</v>
      </c>
      <c r="C1546" s="11" t="s">
        <v>120</v>
      </c>
      <c r="D1546" s="18">
        <v>45954</v>
      </c>
      <c r="E1546" s="11" t="s">
        <v>1976</v>
      </c>
      <c r="F1546" s="11" t="s">
        <v>428</v>
      </c>
      <c r="G1546" s="19">
        <v>9954770</v>
      </c>
    </row>
    <row r="1547" spans="1:7">
      <c r="A1547" s="11" t="s">
        <v>28</v>
      </c>
      <c r="B1547" s="11" t="s">
        <v>123</v>
      </c>
      <c r="C1547" s="11" t="s">
        <v>15</v>
      </c>
      <c r="D1547" s="18">
        <v>45954</v>
      </c>
      <c r="E1547" s="11" t="s">
        <v>1977</v>
      </c>
      <c r="F1547" s="11" t="s">
        <v>428</v>
      </c>
      <c r="G1547" s="19">
        <v>-10974370</v>
      </c>
    </row>
    <row r="1548" spans="1:7">
      <c r="A1548" s="11" t="s">
        <v>28</v>
      </c>
      <c r="B1548" s="11" t="s">
        <v>123</v>
      </c>
      <c r="C1548" s="11" t="s">
        <v>120</v>
      </c>
      <c r="D1548" s="18">
        <v>45954</v>
      </c>
      <c r="E1548" s="11" t="s">
        <v>1977</v>
      </c>
      <c r="F1548" s="11" t="s">
        <v>428</v>
      </c>
      <c r="G1548" s="19">
        <v>10974370</v>
      </c>
    </row>
    <row r="1549" spans="1:7">
      <c r="A1549" s="11" t="s">
        <v>28</v>
      </c>
      <c r="B1549" s="11" t="s">
        <v>123</v>
      </c>
      <c r="C1549" s="11" t="s">
        <v>15</v>
      </c>
      <c r="D1549" s="18">
        <v>45954</v>
      </c>
      <c r="E1549" s="11" t="s">
        <v>1978</v>
      </c>
      <c r="F1549" s="11" t="s">
        <v>428</v>
      </c>
      <c r="G1549" s="19">
        <v>-2805580</v>
      </c>
    </row>
    <row r="1550" spans="1:7">
      <c r="A1550" s="11" t="s">
        <v>28</v>
      </c>
      <c r="B1550" s="11" t="s">
        <v>123</v>
      </c>
      <c r="C1550" s="11" t="s">
        <v>120</v>
      </c>
      <c r="D1550" s="18">
        <v>45954</v>
      </c>
      <c r="E1550" s="11" t="s">
        <v>1978</v>
      </c>
      <c r="F1550" s="11" t="s">
        <v>428</v>
      </c>
      <c r="G1550" s="19">
        <v>2805580</v>
      </c>
    </row>
    <row r="1551" spans="1:7">
      <c r="A1551" s="11" t="s">
        <v>28</v>
      </c>
      <c r="B1551" s="11" t="s">
        <v>126</v>
      </c>
      <c r="C1551" s="11" t="s">
        <v>32</v>
      </c>
      <c r="D1551" s="18">
        <v>45954</v>
      </c>
      <c r="E1551" s="11" t="s">
        <v>1979</v>
      </c>
      <c r="F1551" s="11" t="s">
        <v>407</v>
      </c>
      <c r="G1551" s="19">
        <v>-2203440</v>
      </c>
    </row>
    <row r="1552" spans="1:7">
      <c r="A1552" s="11" t="s">
        <v>28</v>
      </c>
      <c r="B1552" s="11" t="s">
        <v>127</v>
      </c>
      <c r="C1552" s="11" t="s">
        <v>32</v>
      </c>
      <c r="D1552" s="18">
        <v>45954</v>
      </c>
      <c r="E1552" s="11" t="s">
        <v>1979</v>
      </c>
      <c r="F1552" s="11" t="s">
        <v>407</v>
      </c>
      <c r="G1552" s="19">
        <v>-189060</v>
      </c>
    </row>
    <row r="1553" spans="1:7">
      <c r="A1553" s="11" t="s">
        <v>28</v>
      </c>
      <c r="B1553" s="11" t="s">
        <v>125</v>
      </c>
      <c r="C1553" s="11" t="s">
        <v>32</v>
      </c>
      <c r="D1553" s="18">
        <v>45954</v>
      </c>
      <c r="E1553" s="11" t="s">
        <v>1979</v>
      </c>
      <c r="F1553" s="11" t="s">
        <v>407</v>
      </c>
      <c r="G1553" s="19">
        <v>2203440</v>
      </c>
    </row>
    <row r="1554" spans="1:7">
      <c r="A1554" s="11" t="s">
        <v>28</v>
      </c>
      <c r="B1554" s="11" t="s">
        <v>127</v>
      </c>
      <c r="C1554" s="11" t="s">
        <v>32</v>
      </c>
      <c r="D1554" s="18">
        <v>45954</v>
      </c>
      <c r="E1554" s="11" t="s">
        <v>1979</v>
      </c>
      <c r="F1554" s="11" t="s">
        <v>407</v>
      </c>
      <c r="G1554" s="19">
        <v>189060</v>
      </c>
    </row>
    <row r="1555" spans="1:7">
      <c r="A1555" s="11" t="s">
        <v>28</v>
      </c>
      <c r="B1555" s="11" t="s">
        <v>125</v>
      </c>
      <c r="C1555" s="11" t="s">
        <v>32</v>
      </c>
      <c r="D1555" s="18">
        <v>45954</v>
      </c>
      <c r="E1555" s="11" t="s">
        <v>1980</v>
      </c>
      <c r="F1555" s="11" t="s">
        <v>417</v>
      </c>
      <c r="G1555" s="19">
        <v>-4065700</v>
      </c>
    </row>
    <row r="1556" spans="1:7">
      <c r="A1556" s="11" t="s">
        <v>28</v>
      </c>
      <c r="B1556" s="11" t="s">
        <v>128</v>
      </c>
      <c r="C1556" s="11" t="s">
        <v>32</v>
      </c>
      <c r="D1556" s="18">
        <v>45954</v>
      </c>
      <c r="E1556" s="11" t="s">
        <v>1980</v>
      </c>
      <c r="F1556" s="11" t="s">
        <v>417</v>
      </c>
      <c r="G1556" s="19">
        <v>4065700</v>
      </c>
    </row>
    <row r="1557" spans="1:7">
      <c r="A1557" s="11" t="s">
        <v>22</v>
      </c>
      <c r="B1557" s="11" t="s">
        <v>119</v>
      </c>
      <c r="C1557" s="11" t="s">
        <v>120</v>
      </c>
      <c r="D1557" s="18">
        <v>45954</v>
      </c>
      <c r="E1557" s="11" t="s">
        <v>1981</v>
      </c>
      <c r="F1557" s="11" t="s">
        <v>338</v>
      </c>
      <c r="G1557" s="19">
        <v>60700</v>
      </c>
    </row>
    <row r="1558" spans="1:7">
      <c r="A1558" s="11" t="s">
        <v>87</v>
      </c>
      <c r="B1558" s="11" t="s">
        <v>95</v>
      </c>
      <c r="C1558" s="11" t="s">
        <v>15</v>
      </c>
      <c r="D1558" s="18">
        <v>45954</v>
      </c>
      <c r="E1558" s="11" t="s">
        <v>1982</v>
      </c>
      <c r="F1558" s="11" t="s">
        <v>1983</v>
      </c>
      <c r="G1558" s="19">
        <v>2200000</v>
      </c>
    </row>
    <row r="1559" spans="1:7">
      <c r="A1559" s="11" t="s">
        <v>28</v>
      </c>
      <c r="B1559" s="11" t="s">
        <v>29</v>
      </c>
      <c r="C1559" s="11" t="s">
        <v>15</v>
      </c>
      <c r="D1559" s="18">
        <v>45954</v>
      </c>
      <c r="E1559" s="11" t="s">
        <v>1984</v>
      </c>
      <c r="F1559" s="11" t="s">
        <v>838</v>
      </c>
      <c r="G1559" s="19">
        <v>655500</v>
      </c>
    </row>
    <row r="1560" spans="1:7">
      <c r="A1560" s="11" t="s">
        <v>22</v>
      </c>
      <c r="B1560" s="11" t="s">
        <v>119</v>
      </c>
      <c r="C1560" s="11" t="s">
        <v>120</v>
      </c>
      <c r="D1560" s="18">
        <v>45954</v>
      </c>
      <c r="E1560" s="11" t="s">
        <v>1985</v>
      </c>
      <c r="F1560" s="11" t="s">
        <v>1005</v>
      </c>
      <c r="G1560" s="19">
        <v>72840</v>
      </c>
    </row>
    <row r="1561" spans="1:7">
      <c r="A1561" s="11" t="s">
        <v>104</v>
      </c>
      <c r="B1561" s="11" t="s">
        <v>108</v>
      </c>
      <c r="C1561" s="11" t="s">
        <v>15</v>
      </c>
      <c r="D1561" s="18">
        <v>45954</v>
      </c>
      <c r="E1561" s="11" t="s">
        <v>1986</v>
      </c>
      <c r="F1561" s="11" t="s">
        <v>255</v>
      </c>
      <c r="G1561" s="19">
        <v>180</v>
      </c>
    </row>
    <row r="1562" spans="1:7">
      <c r="A1562" s="11" t="s">
        <v>87</v>
      </c>
      <c r="B1562" s="11" t="s">
        <v>97</v>
      </c>
      <c r="C1562" s="11" t="s">
        <v>15</v>
      </c>
      <c r="D1562" s="18">
        <v>45957</v>
      </c>
      <c r="E1562" s="11" t="s">
        <v>1987</v>
      </c>
      <c r="F1562" s="11" t="s">
        <v>350</v>
      </c>
      <c r="G1562" s="19">
        <v>4551520</v>
      </c>
    </row>
    <row r="1563" spans="1:7">
      <c r="A1563" s="11" t="s">
        <v>130</v>
      </c>
      <c r="B1563" s="11" t="s">
        <v>132</v>
      </c>
      <c r="C1563" s="11" t="s">
        <v>15</v>
      </c>
      <c r="D1563" s="18">
        <v>45957</v>
      </c>
      <c r="E1563" s="11" t="s">
        <v>1988</v>
      </c>
      <c r="F1563" s="11" t="s">
        <v>317</v>
      </c>
      <c r="G1563" s="19">
        <v>450000</v>
      </c>
    </row>
    <row r="1564" spans="1:7">
      <c r="A1564" s="11" t="s">
        <v>75</v>
      </c>
      <c r="B1564" s="11" t="s">
        <v>76</v>
      </c>
      <c r="C1564" s="11" t="s">
        <v>15</v>
      </c>
      <c r="D1564" s="18">
        <v>45957</v>
      </c>
      <c r="E1564" s="11" t="s">
        <v>1989</v>
      </c>
      <c r="F1564" s="11" t="s">
        <v>344</v>
      </c>
      <c r="G1564" s="19">
        <v>1166000</v>
      </c>
    </row>
    <row r="1565" spans="1:7">
      <c r="A1565" s="11" t="s">
        <v>87</v>
      </c>
      <c r="B1565" s="11" t="s">
        <v>210</v>
      </c>
      <c r="C1565" s="11" t="s">
        <v>15</v>
      </c>
      <c r="D1565" s="18">
        <v>45957</v>
      </c>
      <c r="E1565" s="11" t="s">
        <v>1990</v>
      </c>
      <c r="F1565" s="11" t="s">
        <v>384</v>
      </c>
      <c r="G1565" s="19">
        <v>6310760</v>
      </c>
    </row>
    <row r="1566" spans="1:7">
      <c r="A1566" s="11" t="s">
        <v>87</v>
      </c>
      <c r="B1566" s="11" t="s">
        <v>94</v>
      </c>
      <c r="C1566" s="11" t="s">
        <v>15</v>
      </c>
      <c r="D1566" s="18">
        <v>45957</v>
      </c>
      <c r="E1566" s="11" t="s">
        <v>1991</v>
      </c>
      <c r="F1566" s="11" t="s">
        <v>352</v>
      </c>
      <c r="G1566" s="19">
        <v>4096220</v>
      </c>
    </row>
    <row r="1567" spans="1:7">
      <c r="A1567" s="11" t="s">
        <v>87</v>
      </c>
      <c r="B1567" s="11" t="s">
        <v>94</v>
      </c>
      <c r="C1567" s="11" t="s">
        <v>15</v>
      </c>
      <c r="D1567" s="18">
        <v>45957</v>
      </c>
      <c r="E1567" s="11" t="s">
        <v>1992</v>
      </c>
      <c r="F1567" s="11" t="s">
        <v>340</v>
      </c>
      <c r="G1567" s="19">
        <v>198000</v>
      </c>
    </row>
    <row r="1568" spans="1:7">
      <c r="A1568" s="11" t="s">
        <v>38</v>
      </c>
      <c r="B1568" s="11" t="s">
        <v>138</v>
      </c>
      <c r="C1568" s="11" t="s">
        <v>15</v>
      </c>
      <c r="D1568" s="18">
        <v>45957</v>
      </c>
      <c r="E1568" s="11" t="s">
        <v>1993</v>
      </c>
      <c r="F1568" s="11" t="s">
        <v>348</v>
      </c>
      <c r="G1568" s="19">
        <v>1365080</v>
      </c>
    </row>
    <row r="1569" spans="1:7">
      <c r="A1569" s="11" t="s">
        <v>87</v>
      </c>
      <c r="B1569" s="11" t="s">
        <v>94</v>
      </c>
      <c r="C1569" s="11" t="s">
        <v>15</v>
      </c>
      <c r="D1569" s="18">
        <v>45957</v>
      </c>
      <c r="E1569" s="11" t="s">
        <v>1994</v>
      </c>
      <c r="F1569" s="11" t="s">
        <v>342</v>
      </c>
      <c r="G1569" s="19">
        <v>660000</v>
      </c>
    </row>
    <row r="1570" spans="1:7">
      <c r="A1570" s="11" t="s">
        <v>104</v>
      </c>
      <c r="B1570" s="11" t="s">
        <v>108</v>
      </c>
      <c r="C1570" s="11" t="s">
        <v>15</v>
      </c>
      <c r="D1570" s="18">
        <v>45957</v>
      </c>
      <c r="E1570" s="11" t="s">
        <v>1995</v>
      </c>
      <c r="F1570" s="11" t="s">
        <v>255</v>
      </c>
      <c r="G1570" s="19">
        <v>640</v>
      </c>
    </row>
    <row r="1571" spans="1:7">
      <c r="A1571" s="11" t="s">
        <v>43</v>
      </c>
      <c r="B1571" s="11" t="s">
        <v>139</v>
      </c>
      <c r="C1571" s="11" t="s">
        <v>15</v>
      </c>
      <c r="D1571" s="18">
        <v>45957</v>
      </c>
      <c r="E1571" s="11" t="s">
        <v>1996</v>
      </c>
      <c r="F1571" s="11" t="s">
        <v>243</v>
      </c>
      <c r="G1571" s="19">
        <v>33000</v>
      </c>
    </row>
    <row r="1572" spans="1:7">
      <c r="A1572" s="11" t="s">
        <v>28</v>
      </c>
      <c r="B1572" s="11" t="s">
        <v>29</v>
      </c>
      <c r="C1572" s="11" t="s">
        <v>15</v>
      </c>
      <c r="D1572" s="18">
        <v>45957</v>
      </c>
      <c r="E1572" s="11" t="s">
        <v>1997</v>
      </c>
      <c r="F1572" s="11" t="s">
        <v>771</v>
      </c>
      <c r="G1572" s="19">
        <v>40000</v>
      </c>
    </row>
    <row r="1573" spans="1:7">
      <c r="A1573" s="11" t="s">
        <v>28</v>
      </c>
      <c r="B1573" s="11" t="s">
        <v>29</v>
      </c>
      <c r="C1573" s="11" t="s">
        <v>30</v>
      </c>
      <c r="D1573" s="18">
        <v>45957</v>
      </c>
      <c r="E1573" s="11" t="s">
        <v>1998</v>
      </c>
      <c r="F1573" s="11" t="s">
        <v>321</v>
      </c>
      <c r="G1573" s="19">
        <v>1541770</v>
      </c>
    </row>
    <row r="1574" spans="1:7">
      <c r="A1574" s="11" t="s">
        <v>87</v>
      </c>
      <c r="B1574" s="11" t="s">
        <v>30</v>
      </c>
      <c r="C1574" s="11" t="s">
        <v>30</v>
      </c>
      <c r="D1574" s="18">
        <v>45957</v>
      </c>
      <c r="E1574" s="11" t="s">
        <v>1999</v>
      </c>
      <c r="F1574" s="11" t="s">
        <v>321</v>
      </c>
      <c r="G1574" s="19">
        <v>4229180</v>
      </c>
    </row>
    <row r="1575" spans="1:7">
      <c r="A1575" s="11" t="s">
        <v>87</v>
      </c>
      <c r="B1575" s="11" t="s">
        <v>88</v>
      </c>
      <c r="C1575" s="11" t="s">
        <v>92</v>
      </c>
      <c r="D1575" s="18">
        <v>45957</v>
      </c>
      <c r="E1575" s="11" t="s">
        <v>2000</v>
      </c>
      <c r="F1575" s="11" t="s">
        <v>323</v>
      </c>
      <c r="G1575" s="19">
        <v>13200</v>
      </c>
    </row>
    <row r="1576" spans="1:7">
      <c r="A1576" s="11" t="s">
        <v>38</v>
      </c>
      <c r="B1576" s="11" t="s">
        <v>39</v>
      </c>
      <c r="C1576" s="11" t="s">
        <v>15</v>
      </c>
      <c r="D1576" s="18">
        <v>45957</v>
      </c>
      <c r="E1576" s="11" t="s">
        <v>2001</v>
      </c>
      <c r="F1576" s="11" t="s">
        <v>330</v>
      </c>
      <c r="G1576" s="19">
        <v>16500</v>
      </c>
    </row>
    <row r="1577" spans="1:7">
      <c r="A1577" s="11" t="s">
        <v>87</v>
      </c>
      <c r="B1577" s="11" t="s">
        <v>88</v>
      </c>
      <c r="C1577" s="11" t="s">
        <v>92</v>
      </c>
      <c r="D1577" s="18">
        <v>45957</v>
      </c>
      <c r="E1577" s="11" t="s">
        <v>2002</v>
      </c>
      <c r="F1577" s="11" t="s">
        <v>330</v>
      </c>
      <c r="G1577" s="19">
        <v>808980</v>
      </c>
    </row>
    <row r="1578" spans="1:7">
      <c r="A1578" s="11" t="s">
        <v>38</v>
      </c>
      <c r="B1578" s="11" t="s">
        <v>136</v>
      </c>
      <c r="C1578" s="11" t="s">
        <v>15</v>
      </c>
      <c r="D1578" s="18">
        <v>45957</v>
      </c>
      <c r="E1578" s="11" t="s">
        <v>2003</v>
      </c>
      <c r="F1578" s="11" t="s">
        <v>335</v>
      </c>
      <c r="G1578" s="19">
        <v>858600</v>
      </c>
    </row>
    <row r="1579" spans="1:7">
      <c r="A1579" s="11" t="s">
        <v>38</v>
      </c>
      <c r="B1579" s="11" t="s">
        <v>136</v>
      </c>
      <c r="C1579" s="11" t="s">
        <v>15</v>
      </c>
      <c r="D1579" s="18">
        <v>45957</v>
      </c>
      <c r="E1579" s="11" t="s">
        <v>2004</v>
      </c>
      <c r="F1579" s="11" t="s">
        <v>326</v>
      </c>
      <c r="G1579" s="19">
        <v>267320</v>
      </c>
    </row>
    <row r="1580" spans="1:7">
      <c r="A1580" s="11" t="s">
        <v>130</v>
      </c>
      <c r="B1580" s="11" t="s">
        <v>37</v>
      </c>
      <c r="C1580" s="11" t="s">
        <v>13</v>
      </c>
      <c r="D1580" s="18">
        <v>45958</v>
      </c>
      <c r="E1580" s="11" t="s">
        <v>2005</v>
      </c>
      <c r="F1580" s="11" t="s">
        <v>836</v>
      </c>
      <c r="G1580" s="19">
        <v>2000000</v>
      </c>
    </row>
    <row r="1581" spans="1:7">
      <c r="A1581" s="11" t="s">
        <v>72</v>
      </c>
      <c r="B1581" s="11" t="s">
        <v>192</v>
      </c>
      <c r="C1581" s="11" t="s">
        <v>34</v>
      </c>
      <c r="D1581" s="18">
        <v>45958</v>
      </c>
      <c r="E1581" s="11" t="s">
        <v>2006</v>
      </c>
      <c r="F1581" s="11" t="s">
        <v>558</v>
      </c>
      <c r="G1581" s="19">
        <v>-15140</v>
      </c>
    </row>
    <row r="1582" spans="1:7">
      <c r="A1582" s="11" t="s">
        <v>22</v>
      </c>
      <c r="B1582" s="11" t="s">
        <v>119</v>
      </c>
      <c r="C1582" s="11" t="s">
        <v>120</v>
      </c>
      <c r="D1582" s="18">
        <v>45959</v>
      </c>
      <c r="E1582" s="11" t="s">
        <v>2007</v>
      </c>
      <c r="F1582" s="11" t="s">
        <v>338</v>
      </c>
      <c r="G1582" s="19">
        <v>194240</v>
      </c>
    </row>
    <row r="1583" spans="1:7">
      <c r="A1583" s="11" t="s">
        <v>101</v>
      </c>
      <c r="B1583" s="11" t="s">
        <v>2008</v>
      </c>
      <c r="C1583" s="11" t="s">
        <v>15</v>
      </c>
      <c r="D1583" s="18">
        <v>45959</v>
      </c>
      <c r="E1583" s="11" t="s">
        <v>2009</v>
      </c>
      <c r="F1583" s="11" t="s">
        <v>2010</v>
      </c>
      <c r="G1583" s="19">
        <v>70000</v>
      </c>
    </row>
    <row r="1584" spans="1:7">
      <c r="A1584" s="11" t="s">
        <v>101</v>
      </c>
      <c r="B1584" s="11" t="s">
        <v>211</v>
      </c>
      <c r="C1584" s="11" t="s">
        <v>25</v>
      </c>
      <c r="D1584" s="18">
        <v>45959</v>
      </c>
      <c r="E1584" s="11" t="s">
        <v>2009</v>
      </c>
      <c r="F1584" s="11" t="s">
        <v>2010</v>
      </c>
      <c r="G1584" s="19">
        <v>190000</v>
      </c>
    </row>
    <row r="1585" spans="1:7">
      <c r="A1585" s="11" t="s">
        <v>38</v>
      </c>
      <c r="B1585" s="11" t="s">
        <v>137</v>
      </c>
      <c r="C1585" s="11" t="s">
        <v>15</v>
      </c>
      <c r="D1585" s="18">
        <v>45960</v>
      </c>
      <c r="E1585" s="11" t="s">
        <v>2011</v>
      </c>
      <c r="F1585" s="11" t="s">
        <v>326</v>
      </c>
      <c r="G1585" s="19">
        <v>376800</v>
      </c>
    </row>
    <row r="1586" spans="1:7">
      <c r="A1586" s="11" t="s">
        <v>109</v>
      </c>
      <c r="B1586" s="11" t="s">
        <v>215</v>
      </c>
      <c r="C1586" s="11" t="s">
        <v>120</v>
      </c>
      <c r="D1586" s="18">
        <v>45961</v>
      </c>
      <c r="E1586" s="11" t="s">
        <v>2012</v>
      </c>
      <c r="F1586" s="11" t="s">
        <v>370</v>
      </c>
      <c r="G1586" s="19">
        <v>1311120</v>
      </c>
    </row>
    <row r="1587" spans="1:7">
      <c r="A1587" s="11" t="s">
        <v>55</v>
      </c>
      <c r="B1587" s="11" t="s">
        <v>163</v>
      </c>
      <c r="C1587" s="11" t="s">
        <v>120</v>
      </c>
      <c r="D1587" s="18">
        <v>45961</v>
      </c>
      <c r="E1587" s="11" t="s">
        <v>2013</v>
      </c>
      <c r="F1587" s="11" t="s">
        <v>372</v>
      </c>
      <c r="G1587" s="19">
        <v>2525120</v>
      </c>
    </row>
    <row r="1588" spans="1:7">
      <c r="A1588" s="11" t="s">
        <v>200</v>
      </c>
      <c r="B1588" s="11" t="s">
        <v>201</v>
      </c>
      <c r="C1588" s="11" t="s">
        <v>120</v>
      </c>
      <c r="D1588" s="18">
        <v>45961</v>
      </c>
      <c r="E1588" s="11" t="s">
        <v>2014</v>
      </c>
      <c r="F1588" s="11" t="s">
        <v>368</v>
      </c>
      <c r="G1588" s="19">
        <v>4416540</v>
      </c>
    </row>
    <row r="1589" spans="1:7">
      <c r="A1589" s="11" t="s">
        <v>22</v>
      </c>
      <c r="B1589" s="11" t="s">
        <v>119</v>
      </c>
      <c r="C1589" s="11" t="s">
        <v>120</v>
      </c>
      <c r="D1589" s="18">
        <v>45961</v>
      </c>
      <c r="E1589" s="11" t="s">
        <v>2015</v>
      </c>
      <c r="F1589" s="11" t="s">
        <v>1410</v>
      </c>
      <c r="G1589" s="19">
        <v>13788730</v>
      </c>
    </row>
    <row r="1590" spans="1:7">
      <c r="A1590" s="11" t="s">
        <v>173</v>
      </c>
      <c r="B1590" s="11" t="s">
        <v>179</v>
      </c>
      <c r="C1590" s="11" t="s">
        <v>15</v>
      </c>
      <c r="D1590" s="18">
        <v>45961</v>
      </c>
      <c r="E1590" s="11" t="s">
        <v>2016</v>
      </c>
      <c r="F1590" s="11" t="s">
        <v>651</v>
      </c>
      <c r="G1590" s="19">
        <v>570580</v>
      </c>
    </row>
    <row r="1591" spans="1:7">
      <c r="A1591" s="11" t="s">
        <v>173</v>
      </c>
      <c r="B1591" s="11" t="s">
        <v>180</v>
      </c>
      <c r="C1591" s="11" t="s">
        <v>25</v>
      </c>
      <c r="D1591" s="18">
        <v>45961</v>
      </c>
      <c r="E1591" s="11" t="s">
        <v>2017</v>
      </c>
      <c r="F1591" s="11" t="s">
        <v>249</v>
      </c>
      <c r="G1591" s="19">
        <v>640000</v>
      </c>
    </row>
    <row r="1592" spans="1:7">
      <c r="A1592" s="11" t="s">
        <v>55</v>
      </c>
      <c r="B1592" s="11" t="s">
        <v>166</v>
      </c>
      <c r="C1592" s="11" t="s">
        <v>25</v>
      </c>
      <c r="D1592" s="18">
        <v>45961</v>
      </c>
      <c r="E1592" s="11" t="s">
        <v>2018</v>
      </c>
      <c r="F1592" s="11" t="s">
        <v>649</v>
      </c>
      <c r="G1592" s="19">
        <v>560000</v>
      </c>
    </row>
    <row r="1593" spans="1:7">
      <c r="A1593" s="11" t="s">
        <v>173</v>
      </c>
      <c r="B1593" s="11" t="s">
        <v>180</v>
      </c>
      <c r="C1593" s="11" t="s">
        <v>25</v>
      </c>
      <c r="D1593" s="18">
        <v>45961</v>
      </c>
      <c r="E1593" s="11" t="s">
        <v>2019</v>
      </c>
      <c r="F1593" s="11" t="s">
        <v>896</v>
      </c>
      <c r="G1593" s="19">
        <v>6000000</v>
      </c>
    </row>
    <row r="1594" spans="1:7">
      <c r="A1594" s="11" t="s">
        <v>173</v>
      </c>
      <c r="B1594" s="11" t="s">
        <v>180</v>
      </c>
      <c r="C1594" s="11" t="s">
        <v>25</v>
      </c>
      <c r="D1594" s="18">
        <v>45961</v>
      </c>
      <c r="E1594" s="11" t="s">
        <v>2020</v>
      </c>
      <c r="F1594" s="11" t="s">
        <v>1522</v>
      </c>
      <c r="G1594" s="19">
        <v>160000</v>
      </c>
    </row>
    <row r="1595" spans="1:7">
      <c r="A1595" s="11" t="s">
        <v>130</v>
      </c>
      <c r="B1595" s="11" t="s">
        <v>36</v>
      </c>
      <c r="C1595" s="11" t="s">
        <v>15</v>
      </c>
      <c r="D1595" s="18">
        <v>45961</v>
      </c>
      <c r="E1595" s="11" t="s">
        <v>2021</v>
      </c>
      <c r="F1595" s="11" t="s">
        <v>306</v>
      </c>
      <c r="G1595" s="19">
        <v>1200000</v>
      </c>
    </row>
    <row r="1596" spans="1:7">
      <c r="A1596" s="11" t="s">
        <v>22</v>
      </c>
      <c r="B1596" s="11" t="s">
        <v>119</v>
      </c>
      <c r="C1596" s="11" t="s">
        <v>120</v>
      </c>
      <c r="D1596" s="18">
        <v>45961</v>
      </c>
      <c r="E1596" s="11" t="s">
        <v>2022</v>
      </c>
      <c r="F1596" s="11" t="s">
        <v>1005</v>
      </c>
      <c r="G1596" s="19">
        <v>72840</v>
      </c>
    </row>
    <row r="1597" spans="1:7">
      <c r="A1597" s="11" t="s">
        <v>173</v>
      </c>
      <c r="B1597" s="11" t="s">
        <v>175</v>
      </c>
      <c r="C1597" s="11" t="s">
        <v>13</v>
      </c>
      <c r="D1597" s="18">
        <v>45961</v>
      </c>
      <c r="E1597" s="11" t="s">
        <v>2023</v>
      </c>
      <c r="F1597" s="11" t="s">
        <v>2024</v>
      </c>
      <c r="G1597" s="19">
        <v>60700</v>
      </c>
    </row>
    <row r="1598" spans="1:7">
      <c r="A1598" s="11" t="s">
        <v>173</v>
      </c>
      <c r="B1598" s="11" t="s">
        <v>180</v>
      </c>
      <c r="C1598" s="11" t="s">
        <v>151</v>
      </c>
      <c r="D1598" s="18">
        <v>45961</v>
      </c>
      <c r="E1598" s="11" t="s">
        <v>2025</v>
      </c>
      <c r="F1598" s="11" t="s">
        <v>502</v>
      </c>
      <c r="G1598" s="19">
        <v>56810</v>
      </c>
    </row>
    <row r="1599" spans="1:7">
      <c r="A1599" s="11" t="s">
        <v>130</v>
      </c>
      <c r="B1599" s="11" t="s">
        <v>36</v>
      </c>
      <c r="C1599" s="11" t="s">
        <v>34</v>
      </c>
      <c r="D1599" s="18">
        <v>45961</v>
      </c>
      <c r="E1599" s="11" t="s">
        <v>2026</v>
      </c>
      <c r="F1599" s="11" t="s">
        <v>306</v>
      </c>
      <c r="G1599" s="19">
        <v>271200</v>
      </c>
    </row>
    <row r="1600" spans="1:7">
      <c r="A1600" s="11" t="s">
        <v>130</v>
      </c>
      <c r="B1600" s="11" t="s">
        <v>36</v>
      </c>
      <c r="C1600" s="11" t="s">
        <v>34</v>
      </c>
      <c r="D1600" s="18">
        <v>45961</v>
      </c>
      <c r="E1600" s="11" t="s">
        <v>2027</v>
      </c>
      <c r="F1600" s="11" t="s">
        <v>306</v>
      </c>
      <c r="G1600" s="19">
        <v>421900</v>
      </c>
    </row>
    <row r="1601" spans="1:7">
      <c r="A1601" s="11" t="s">
        <v>75</v>
      </c>
      <c r="B1601" s="11" t="s">
        <v>76</v>
      </c>
      <c r="C1601" s="11" t="s">
        <v>31</v>
      </c>
      <c r="D1601" s="18">
        <v>45961</v>
      </c>
      <c r="E1601" s="11" t="s">
        <v>2028</v>
      </c>
      <c r="F1601" s="11" t="s">
        <v>225</v>
      </c>
      <c r="G1601" s="19">
        <v>660000</v>
      </c>
    </row>
    <row r="1602" spans="1:7">
      <c r="A1602" s="11" t="s">
        <v>173</v>
      </c>
      <c r="B1602" s="11" t="s">
        <v>178</v>
      </c>
      <c r="C1602" s="11" t="s">
        <v>13</v>
      </c>
      <c r="D1602" s="18">
        <v>45961</v>
      </c>
      <c r="E1602" s="11" t="s">
        <v>2029</v>
      </c>
      <c r="F1602" s="11" t="s">
        <v>389</v>
      </c>
      <c r="G1602" s="19">
        <v>5865000</v>
      </c>
    </row>
    <row r="1603" spans="1:7">
      <c r="A1603" s="11" t="s">
        <v>38</v>
      </c>
      <c r="B1603" s="11" t="s">
        <v>40</v>
      </c>
      <c r="C1603" s="11" t="s">
        <v>15</v>
      </c>
      <c r="D1603" s="18">
        <v>45961</v>
      </c>
      <c r="E1603" s="11" t="s">
        <v>2030</v>
      </c>
      <c r="F1603" s="11" t="s">
        <v>510</v>
      </c>
      <c r="G1603" s="19">
        <v>250000</v>
      </c>
    </row>
    <row r="1604" spans="1:7">
      <c r="A1604" s="11" t="s">
        <v>45</v>
      </c>
      <c r="B1604" s="11" t="s">
        <v>143</v>
      </c>
      <c r="C1604" s="11" t="s">
        <v>15</v>
      </c>
      <c r="D1604" s="18">
        <v>45961</v>
      </c>
      <c r="E1604" s="11" t="s">
        <v>2031</v>
      </c>
      <c r="F1604" s="11" t="s">
        <v>426</v>
      </c>
      <c r="G1604" s="19">
        <v>7747920</v>
      </c>
    </row>
    <row r="1605" spans="1:7">
      <c r="A1605" s="11" t="s">
        <v>87</v>
      </c>
      <c r="B1605" s="11" t="s">
        <v>89</v>
      </c>
      <c r="C1605" s="11" t="s">
        <v>89</v>
      </c>
      <c r="D1605" s="18">
        <v>45961</v>
      </c>
      <c r="E1605" s="11" t="s">
        <v>2032</v>
      </c>
      <c r="F1605" s="11" t="s">
        <v>382</v>
      </c>
      <c r="G1605" s="19">
        <v>3423670</v>
      </c>
    </row>
    <row r="1606" spans="1:7">
      <c r="A1606" s="11" t="s">
        <v>87</v>
      </c>
      <c r="B1606" s="11" t="s">
        <v>89</v>
      </c>
      <c r="C1606" s="11" t="s">
        <v>89</v>
      </c>
      <c r="D1606" s="18">
        <v>45961</v>
      </c>
      <c r="E1606" s="11" t="s">
        <v>2033</v>
      </c>
      <c r="F1606" s="11" t="s">
        <v>378</v>
      </c>
      <c r="G1606" s="19">
        <v>2500</v>
      </c>
    </row>
    <row r="1607" spans="1:7">
      <c r="A1607" s="11" t="s">
        <v>75</v>
      </c>
      <c r="B1607" s="11" t="s">
        <v>76</v>
      </c>
      <c r="C1607" s="11" t="s">
        <v>13</v>
      </c>
      <c r="D1607" s="18">
        <v>45961</v>
      </c>
      <c r="E1607" s="11" t="s">
        <v>2034</v>
      </c>
      <c r="F1607" s="11" t="s">
        <v>225</v>
      </c>
      <c r="G1607" s="19">
        <v>671000</v>
      </c>
    </row>
    <row r="1608" spans="1:7">
      <c r="A1608" s="11" t="s">
        <v>104</v>
      </c>
      <c r="B1608" s="11" t="s">
        <v>105</v>
      </c>
      <c r="C1608" s="11" t="s">
        <v>107</v>
      </c>
      <c r="D1608" s="18">
        <v>45964</v>
      </c>
      <c r="E1608" s="11" t="s">
        <v>2035</v>
      </c>
      <c r="F1608" s="11" t="s">
        <v>231</v>
      </c>
      <c r="G1608" s="19">
        <v>370000</v>
      </c>
    </row>
    <row r="1609" spans="1:7">
      <c r="A1609" s="11" t="s">
        <v>43</v>
      </c>
      <c r="B1609" s="11" t="s">
        <v>139</v>
      </c>
      <c r="C1609" s="11" t="s">
        <v>25</v>
      </c>
      <c r="D1609" s="18">
        <v>45964</v>
      </c>
      <c r="E1609" s="11" t="s">
        <v>2036</v>
      </c>
      <c r="F1609" s="11" t="s">
        <v>2037</v>
      </c>
      <c r="G1609" s="19">
        <v>1290000</v>
      </c>
    </row>
    <row r="1610" spans="1:7">
      <c r="A1610" s="11" t="s">
        <v>144</v>
      </c>
      <c r="B1610" s="11" t="s">
        <v>149</v>
      </c>
      <c r="C1610" s="11" t="s">
        <v>25</v>
      </c>
      <c r="D1610" s="18">
        <v>45964</v>
      </c>
      <c r="E1610" s="11" t="s">
        <v>2038</v>
      </c>
      <c r="F1610" s="11" t="s">
        <v>654</v>
      </c>
      <c r="G1610" s="19">
        <v>300000</v>
      </c>
    </row>
    <row r="1611" spans="1:7">
      <c r="A1611" s="11" t="s">
        <v>72</v>
      </c>
      <c r="B1611" s="11" t="s">
        <v>192</v>
      </c>
      <c r="C1611" s="11" t="s">
        <v>25</v>
      </c>
      <c r="D1611" s="18">
        <v>45964</v>
      </c>
      <c r="E1611" s="11" t="s">
        <v>2038</v>
      </c>
      <c r="F1611" s="11" t="s">
        <v>654</v>
      </c>
      <c r="G1611" s="19">
        <v>950000</v>
      </c>
    </row>
    <row r="1612" spans="1:7">
      <c r="A1612" s="11" t="s">
        <v>144</v>
      </c>
      <c r="B1612" s="11" t="s">
        <v>1868</v>
      </c>
      <c r="C1612" s="11" t="s">
        <v>25</v>
      </c>
      <c r="D1612" s="18">
        <v>45964</v>
      </c>
      <c r="E1612" s="11" t="s">
        <v>2039</v>
      </c>
      <c r="F1612" s="11" t="s">
        <v>1867</v>
      </c>
      <c r="G1612" s="19">
        <v>1250000</v>
      </c>
    </row>
    <row r="1613" spans="1:7">
      <c r="A1613" s="11" t="s">
        <v>144</v>
      </c>
      <c r="B1613" s="11" t="s">
        <v>150</v>
      </c>
      <c r="C1613" s="11" t="s">
        <v>25</v>
      </c>
      <c r="D1613" s="18">
        <v>45964</v>
      </c>
      <c r="E1613" s="11" t="s">
        <v>2039</v>
      </c>
      <c r="F1613" s="11" t="s">
        <v>1869</v>
      </c>
      <c r="G1613" s="19">
        <v>2500000</v>
      </c>
    </row>
    <row r="1614" spans="1:7">
      <c r="A1614" s="11" t="s">
        <v>72</v>
      </c>
      <c r="B1614" s="11" t="s">
        <v>192</v>
      </c>
      <c r="C1614" s="11" t="s">
        <v>25</v>
      </c>
      <c r="D1614" s="18">
        <v>45965</v>
      </c>
      <c r="E1614" s="11" t="s">
        <v>2040</v>
      </c>
      <c r="F1614" s="11" t="s">
        <v>1872</v>
      </c>
      <c r="G1614" s="19">
        <v>90000</v>
      </c>
    </row>
    <row r="1615" spans="1:7">
      <c r="A1615" s="11" t="s">
        <v>173</v>
      </c>
      <c r="B1615" s="11" t="s">
        <v>175</v>
      </c>
      <c r="C1615" s="11" t="s">
        <v>13</v>
      </c>
      <c r="D1615" s="18">
        <v>45965</v>
      </c>
      <c r="E1615" s="11" t="s">
        <v>2041</v>
      </c>
      <c r="F1615" s="11" t="s">
        <v>393</v>
      </c>
      <c r="G1615" s="19">
        <v>450000</v>
      </c>
    </row>
    <row r="1616" spans="1:7">
      <c r="A1616" s="11" t="s">
        <v>173</v>
      </c>
      <c r="B1616" s="11" t="s">
        <v>176</v>
      </c>
      <c r="C1616" s="11" t="s">
        <v>13</v>
      </c>
      <c r="D1616" s="18">
        <v>45965</v>
      </c>
      <c r="E1616" s="11" t="s">
        <v>2041</v>
      </c>
      <c r="F1616" s="11" t="s">
        <v>394</v>
      </c>
      <c r="G1616" s="19">
        <v>286000</v>
      </c>
    </row>
    <row r="1617" spans="1:7">
      <c r="A1617" s="11" t="s">
        <v>144</v>
      </c>
      <c r="B1617" s="11" t="s">
        <v>2042</v>
      </c>
      <c r="C1617" s="11" t="s">
        <v>25</v>
      </c>
      <c r="D1617" s="18">
        <v>45965</v>
      </c>
      <c r="E1617" s="11" t="s">
        <v>2043</v>
      </c>
      <c r="F1617" s="11" t="s">
        <v>446</v>
      </c>
      <c r="G1617" s="19">
        <v>448240</v>
      </c>
    </row>
    <row r="1618" spans="1:7">
      <c r="A1618" s="11" t="s">
        <v>144</v>
      </c>
      <c r="B1618" s="11" t="s">
        <v>154</v>
      </c>
      <c r="C1618" s="11" t="s">
        <v>25</v>
      </c>
      <c r="D1618" s="18">
        <v>45965</v>
      </c>
      <c r="E1618" s="11" t="s">
        <v>2043</v>
      </c>
      <c r="F1618" s="11" t="s">
        <v>1836</v>
      </c>
      <c r="G1618" s="19">
        <v>1651760</v>
      </c>
    </row>
    <row r="1619" spans="1:7">
      <c r="A1619" s="11" t="s">
        <v>70</v>
      </c>
      <c r="B1619" s="11" t="s">
        <v>191</v>
      </c>
      <c r="C1619" s="11" t="s">
        <v>25</v>
      </c>
      <c r="D1619" s="18">
        <v>45965</v>
      </c>
      <c r="E1619" s="11" t="s">
        <v>2044</v>
      </c>
      <c r="F1619" s="11" t="s">
        <v>659</v>
      </c>
      <c r="G1619" s="19">
        <v>875000</v>
      </c>
    </row>
    <row r="1620" spans="1:7">
      <c r="A1620" s="11" t="s">
        <v>83</v>
      </c>
      <c r="B1620" s="11" t="s">
        <v>206</v>
      </c>
      <c r="C1620" s="11" t="s">
        <v>25</v>
      </c>
      <c r="D1620" s="18">
        <v>45965</v>
      </c>
      <c r="E1620" s="11" t="s">
        <v>2044</v>
      </c>
      <c r="F1620" s="11" t="s">
        <v>659</v>
      </c>
      <c r="G1620" s="19">
        <v>75000</v>
      </c>
    </row>
    <row r="1621" spans="1:7">
      <c r="A1621" s="11" t="s">
        <v>144</v>
      </c>
      <c r="B1621" s="11" t="s">
        <v>149</v>
      </c>
      <c r="C1621" s="11" t="s">
        <v>25</v>
      </c>
      <c r="D1621" s="18">
        <v>45965</v>
      </c>
      <c r="E1621" s="11" t="s">
        <v>2044</v>
      </c>
      <c r="F1621" s="11" t="s">
        <v>659</v>
      </c>
      <c r="G1621" s="19">
        <v>75000</v>
      </c>
    </row>
    <row r="1622" spans="1:7">
      <c r="A1622" s="11" t="s">
        <v>22</v>
      </c>
      <c r="B1622" s="11" t="s">
        <v>119</v>
      </c>
      <c r="C1622" s="11" t="s">
        <v>120</v>
      </c>
      <c r="D1622" s="18">
        <v>45965</v>
      </c>
      <c r="E1622" s="11" t="s">
        <v>2045</v>
      </c>
      <c r="F1622" s="11" t="s">
        <v>358</v>
      </c>
      <c r="G1622" s="19">
        <v>416030</v>
      </c>
    </row>
    <row r="1623" spans="1:7">
      <c r="A1623" s="11" t="s">
        <v>70</v>
      </c>
      <c r="B1623" s="11" t="s">
        <v>191</v>
      </c>
      <c r="C1623" s="11" t="s">
        <v>25</v>
      </c>
      <c r="D1623" s="18">
        <v>45965</v>
      </c>
      <c r="E1623" s="11" t="s">
        <v>2046</v>
      </c>
      <c r="F1623" s="11" t="s">
        <v>2047</v>
      </c>
      <c r="G1623" s="19">
        <v>575000</v>
      </c>
    </row>
    <row r="1624" spans="1:7">
      <c r="A1624" s="11" t="s">
        <v>173</v>
      </c>
      <c r="B1624" s="11" t="s">
        <v>180</v>
      </c>
      <c r="C1624" s="11" t="s">
        <v>13</v>
      </c>
      <c r="D1624" s="18">
        <v>45965</v>
      </c>
      <c r="E1624" s="11" t="s">
        <v>2048</v>
      </c>
      <c r="F1624" s="11" t="s">
        <v>1266</v>
      </c>
      <c r="G1624" s="19">
        <v>2000000</v>
      </c>
    </row>
    <row r="1625" spans="1:7">
      <c r="A1625" s="11" t="s">
        <v>87</v>
      </c>
      <c r="B1625" s="11" t="s">
        <v>94</v>
      </c>
      <c r="C1625" s="11" t="s">
        <v>15</v>
      </c>
      <c r="D1625" s="18">
        <v>45965</v>
      </c>
      <c r="E1625" s="11" t="s">
        <v>2049</v>
      </c>
      <c r="F1625" s="11" t="s">
        <v>346</v>
      </c>
      <c r="G1625" s="19">
        <v>330000</v>
      </c>
    </row>
    <row r="1626" spans="1:7">
      <c r="A1626" s="11" t="s">
        <v>104</v>
      </c>
      <c r="B1626" s="11" t="s">
        <v>108</v>
      </c>
      <c r="C1626" s="11" t="s">
        <v>15</v>
      </c>
      <c r="D1626" s="18">
        <v>45965</v>
      </c>
      <c r="E1626" s="11" t="s">
        <v>2050</v>
      </c>
      <c r="F1626" s="11" t="s">
        <v>396</v>
      </c>
      <c r="G1626" s="19">
        <v>3000</v>
      </c>
    </row>
    <row r="1627" spans="1:7">
      <c r="A1627" s="11" t="s">
        <v>144</v>
      </c>
      <c r="B1627" s="11" t="s">
        <v>49</v>
      </c>
      <c r="C1627" s="11" t="s">
        <v>50</v>
      </c>
      <c r="D1627" s="18">
        <v>45965</v>
      </c>
      <c r="E1627" s="11" t="s">
        <v>2051</v>
      </c>
      <c r="F1627" s="11" t="s">
        <v>283</v>
      </c>
      <c r="G1627" s="19">
        <v>-125810</v>
      </c>
    </row>
    <row r="1628" spans="1:7">
      <c r="A1628" s="11" t="s">
        <v>28</v>
      </c>
      <c r="B1628" s="11" t="s">
        <v>127</v>
      </c>
      <c r="C1628" s="11" t="s">
        <v>32</v>
      </c>
      <c r="D1628" s="18">
        <v>45965</v>
      </c>
      <c r="E1628" s="11" t="s">
        <v>2052</v>
      </c>
      <c r="F1628" s="11" t="s">
        <v>407</v>
      </c>
      <c r="G1628" s="19">
        <v>477030</v>
      </c>
    </row>
    <row r="1629" spans="1:7">
      <c r="A1629" s="11" t="s">
        <v>28</v>
      </c>
      <c r="B1629" s="11" t="s">
        <v>125</v>
      </c>
      <c r="C1629" s="11" t="s">
        <v>32</v>
      </c>
      <c r="D1629" s="18">
        <v>45965</v>
      </c>
      <c r="E1629" s="11" t="s">
        <v>2052</v>
      </c>
      <c r="F1629" s="11" t="s">
        <v>407</v>
      </c>
      <c r="G1629" s="19">
        <v>4575250</v>
      </c>
    </row>
    <row r="1630" spans="1:7">
      <c r="A1630" s="11" t="s">
        <v>28</v>
      </c>
      <c r="B1630" s="11" t="s">
        <v>29</v>
      </c>
      <c r="C1630" s="11" t="s">
        <v>15</v>
      </c>
      <c r="D1630" s="18">
        <v>45965</v>
      </c>
      <c r="E1630" s="11" t="s">
        <v>2053</v>
      </c>
      <c r="F1630" s="11" t="s">
        <v>405</v>
      </c>
      <c r="G1630" s="19">
        <v>518400</v>
      </c>
    </row>
    <row r="1631" spans="1:7">
      <c r="A1631" s="11" t="s">
        <v>28</v>
      </c>
      <c r="B1631" s="11" t="s">
        <v>29</v>
      </c>
      <c r="C1631" s="11" t="s">
        <v>31</v>
      </c>
      <c r="D1631" s="18">
        <v>45965</v>
      </c>
      <c r="E1631" s="11" t="s">
        <v>2054</v>
      </c>
      <c r="F1631" s="11" t="s">
        <v>283</v>
      </c>
      <c r="G1631" s="19">
        <v>-47800</v>
      </c>
    </row>
    <row r="1632" spans="1:7">
      <c r="A1632" s="11" t="s">
        <v>28</v>
      </c>
      <c r="B1632" s="11" t="s">
        <v>29</v>
      </c>
      <c r="C1632" s="11" t="s">
        <v>15</v>
      </c>
      <c r="D1632" s="18">
        <v>45965</v>
      </c>
      <c r="E1632" s="11" t="s">
        <v>2054</v>
      </c>
      <c r="F1632" s="11" t="s">
        <v>283</v>
      </c>
      <c r="G1632" s="19">
        <v>-2229000</v>
      </c>
    </row>
    <row r="1633" spans="1:7">
      <c r="A1633" s="11" t="s">
        <v>28</v>
      </c>
      <c r="B1633" s="11" t="s">
        <v>29</v>
      </c>
      <c r="C1633" s="11" t="s">
        <v>31</v>
      </c>
      <c r="D1633" s="18">
        <v>45965</v>
      </c>
      <c r="E1633" s="11" t="s">
        <v>2054</v>
      </c>
      <c r="F1633" s="11" t="s">
        <v>283</v>
      </c>
      <c r="G1633" s="19">
        <v>2276800</v>
      </c>
    </row>
    <row r="1634" spans="1:7">
      <c r="A1634" s="11" t="s">
        <v>22</v>
      </c>
      <c r="B1634" s="11" t="s">
        <v>121</v>
      </c>
      <c r="C1634" s="11" t="s">
        <v>122</v>
      </c>
      <c r="D1634" s="18">
        <v>45966</v>
      </c>
      <c r="E1634" s="11" t="s">
        <v>2055</v>
      </c>
      <c r="F1634" s="11" t="s">
        <v>2056</v>
      </c>
      <c r="G1634" s="19">
        <v>2745000</v>
      </c>
    </row>
    <row r="1635" spans="1:7">
      <c r="A1635" s="11" t="s">
        <v>144</v>
      </c>
      <c r="B1635" s="11" t="s">
        <v>148</v>
      </c>
      <c r="C1635" s="11" t="s">
        <v>25</v>
      </c>
      <c r="D1635" s="18">
        <v>45966</v>
      </c>
      <c r="E1635" s="11" t="s">
        <v>2057</v>
      </c>
      <c r="F1635" s="11" t="s">
        <v>2058</v>
      </c>
      <c r="G1635" s="19">
        <v>1760000</v>
      </c>
    </row>
    <row r="1636" spans="1:7">
      <c r="A1636" s="11" t="s">
        <v>168</v>
      </c>
      <c r="B1636" s="11" t="s">
        <v>170</v>
      </c>
      <c r="C1636" s="11" t="s">
        <v>25</v>
      </c>
      <c r="D1636" s="18">
        <v>45966</v>
      </c>
      <c r="E1636" s="11" t="s">
        <v>2059</v>
      </c>
      <c r="F1636" s="11" t="s">
        <v>775</v>
      </c>
      <c r="G1636" s="19">
        <v>700000</v>
      </c>
    </row>
    <row r="1637" spans="1:7">
      <c r="A1637" s="11" t="s">
        <v>144</v>
      </c>
      <c r="B1637" s="11" t="s">
        <v>148</v>
      </c>
      <c r="C1637" s="11" t="s">
        <v>25</v>
      </c>
      <c r="D1637" s="18">
        <v>45966</v>
      </c>
      <c r="E1637" s="11" t="s">
        <v>2060</v>
      </c>
      <c r="F1637" s="11" t="s">
        <v>695</v>
      </c>
      <c r="G1637" s="19">
        <v>1120000</v>
      </c>
    </row>
    <row r="1638" spans="1:7">
      <c r="A1638" s="11" t="s">
        <v>168</v>
      </c>
      <c r="B1638" s="11" t="s">
        <v>170</v>
      </c>
      <c r="C1638" s="11" t="s">
        <v>25</v>
      </c>
      <c r="D1638" s="18">
        <v>45966</v>
      </c>
      <c r="E1638" s="11" t="s">
        <v>2061</v>
      </c>
      <c r="F1638" s="11" t="s">
        <v>1838</v>
      </c>
      <c r="G1638" s="19">
        <v>630000</v>
      </c>
    </row>
    <row r="1639" spans="1:7">
      <c r="A1639" s="11" t="s">
        <v>168</v>
      </c>
      <c r="B1639" s="11" t="s">
        <v>170</v>
      </c>
      <c r="C1639" s="11" t="s">
        <v>25</v>
      </c>
      <c r="D1639" s="18">
        <v>45966</v>
      </c>
      <c r="E1639" s="11" t="s">
        <v>2062</v>
      </c>
      <c r="F1639" s="11" t="s">
        <v>1692</v>
      </c>
      <c r="G1639" s="19">
        <v>800000</v>
      </c>
    </row>
    <row r="1640" spans="1:7">
      <c r="A1640" s="11" t="s">
        <v>168</v>
      </c>
      <c r="B1640" s="11" t="s">
        <v>170</v>
      </c>
      <c r="C1640" s="11" t="s">
        <v>25</v>
      </c>
      <c r="D1640" s="18">
        <v>45966</v>
      </c>
      <c r="E1640" s="11" t="s">
        <v>2063</v>
      </c>
      <c r="F1640" s="11" t="s">
        <v>1841</v>
      </c>
      <c r="G1640" s="19">
        <v>1120000</v>
      </c>
    </row>
    <row r="1641" spans="1:7">
      <c r="A1641" s="11" t="s">
        <v>144</v>
      </c>
      <c r="B1641" s="11" t="s">
        <v>49</v>
      </c>
      <c r="C1641" s="11" t="s">
        <v>50</v>
      </c>
      <c r="D1641" s="18">
        <v>45966</v>
      </c>
      <c r="E1641" s="11" t="s">
        <v>2064</v>
      </c>
      <c r="F1641" s="11" t="s">
        <v>295</v>
      </c>
      <c r="G1641" s="19">
        <v>342000</v>
      </c>
    </row>
    <row r="1642" spans="1:7">
      <c r="A1642" s="11" t="s">
        <v>104</v>
      </c>
      <c r="B1642" s="11" t="s">
        <v>108</v>
      </c>
      <c r="C1642" s="11" t="s">
        <v>12</v>
      </c>
      <c r="D1642" s="18">
        <v>45966</v>
      </c>
      <c r="E1642" s="11" t="s">
        <v>2065</v>
      </c>
      <c r="F1642" s="11" t="s">
        <v>285</v>
      </c>
      <c r="G1642" s="19">
        <v>9000</v>
      </c>
    </row>
    <row r="1643" spans="1:7">
      <c r="A1643" s="11" t="s">
        <v>104</v>
      </c>
      <c r="B1643" s="11" t="s">
        <v>108</v>
      </c>
      <c r="C1643" s="11" t="s">
        <v>12</v>
      </c>
      <c r="D1643" s="18">
        <v>45966</v>
      </c>
      <c r="E1643" s="11" t="s">
        <v>2066</v>
      </c>
      <c r="F1643" s="11" t="s">
        <v>1478</v>
      </c>
      <c r="G1643" s="19">
        <v>9000</v>
      </c>
    </row>
    <row r="1644" spans="1:7">
      <c r="A1644" s="11" t="s">
        <v>173</v>
      </c>
      <c r="B1644" s="11" t="s">
        <v>180</v>
      </c>
      <c r="C1644" s="11" t="s">
        <v>13</v>
      </c>
      <c r="D1644" s="18">
        <v>45966</v>
      </c>
      <c r="E1644" s="11" t="s">
        <v>2067</v>
      </c>
      <c r="F1644" s="11" t="s">
        <v>283</v>
      </c>
      <c r="G1644" s="19">
        <v>284700</v>
      </c>
    </row>
    <row r="1645" spans="1:7">
      <c r="A1645" s="11" t="s">
        <v>173</v>
      </c>
      <c r="B1645" s="11" t="s">
        <v>181</v>
      </c>
      <c r="C1645" s="11" t="s">
        <v>15</v>
      </c>
      <c r="D1645" s="18">
        <v>45966</v>
      </c>
      <c r="E1645" s="11" t="s">
        <v>2067</v>
      </c>
      <c r="F1645" s="11" t="s">
        <v>283</v>
      </c>
      <c r="G1645" s="19">
        <v>33810</v>
      </c>
    </row>
    <row r="1646" spans="1:7">
      <c r="A1646" s="11" t="s">
        <v>55</v>
      </c>
      <c r="B1646" s="11" t="s">
        <v>165</v>
      </c>
      <c r="C1646" s="11" t="s">
        <v>13</v>
      </c>
      <c r="D1646" s="18">
        <v>45966</v>
      </c>
      <c r="E1646" s="11" t="s">
        <v>2068</v>
      </c>
      <c r="F1646" s="11" t="s">
        <v>283</v>
      </c>
      <c r="G1646" s="19">
        <v>175420</v>
      </c>
    </row>
    <row r="1647" spans="1:7">
      <c r="A1647" s="11" t="s">
        <v>144</v>
      </c>
      <c r="B1647" s="11" t="s">
        <v>49</v>
      </c>
      <c r="C1647" s="11" t="s">
        <v>50</v>
      </c>
      <c r="D1647" s="18">
        <v>45966</v>
      </c>
      <c r="E1647" s="11" t="s">
        <v>2069</v>
      </c>
      <c r="F1647" s="11" t="s">
        <v>586</v>
      </c>
      <c r="G1647" s="19">
        <v>1364640</v>
      </c>
    </row>
    <row r="1648" spans="1:7">
      <c r="A1648" s="11" t="s">
        <v>173</v>
      </c>
      <c r="B1648" s="11" t="s">
        <v>180</v>
      </c>
      <c r="C1648" s="11" t="s">
        <v>13</v>
      </c>
      <c r="D1648" s="18">
        <v>45966</v>
      </c>
      <c r="E1648" s="11" t="s">
        <v>2070</v>
      </c>
      <c r="F1648" s="11" t="s">
        <v>283</v>
      </c>
      <c r="G1648" s="19">
        <v>132680</v>
      </c>
    </row>
    <row r="1649" spans="1:7">
      <c r="A1649" s="11" t="s">
        <v>104</v>
      </c>
      <c r="B1649" s="11" t="s">
        <v>214</v>
      </c>
      <c r="C1649" s="11" t="s">
        <v>14</v>
      </c>
      <c r="D1649" s="18">
        <v>45966</v>
      </c>
      <c r="E1649" s="11" t="s">
        <v>2071</v>
      </c>
      <c r="F1649" s="11" t="s">
        <v>283</v>
      </c>
      <c r="G1649" s="19">
        <v>222490</v>
      </c>
    </row>
    <row r="1650" spans="1:7">
      <c r="A1650" s="11" t="s">
        <v>72</v>
      </c>
      <c r="B1650" s="11" t="s">
        <v>192</v>
      </c>
      <c r="C1650" s="11" t="s">
        <v>34</v>
      </c>
      <c r="D1650" s="18">
        <v>45966</v>
      </c>
      <c r="E1650" s="11" t="s">
        <v>2072</v>
      </c>
      <c r="F1650" s="11" t="s">
        <v>295</v>
      </c>
      <c r="G1650" s="19">
        <v>43800</v>
      </c>
    </row>
    <row r="1651" spans="1:7">
      <c r="A1651" s="11" t="s">
        <v>144</v>
      </c>
      <c r="B1651" s="11" t="s">
        <v>146</v>
      </c>
      <c r="C1651" s="11" t="s">
        <v>13</v>
      </c>
      <c r="D1651" s="18">
        <v>45966</v>
      </c>
      <c r="E1651" s="11" t="s">
        <v>2073</v>
      </c>
      <c r="F1651" s="11" t="s">
        <v>586</v>
      </c>
      <c r="G1651" s="19">
        <v>635870</v>
      </c>
    </row>
    <row r="1652" spans="1:7">
      <c r="A1652" s="11" t="s">
        <v>104</v>
      </c>
      <c r="B1652" s="11" t="s">
        <v>108</v>
      </c>
      <c r="C1652" s="11" t="s">
        <v>12</v>
      </c>
      <c r="D1652" s="18">
        <v>45966</v>
      </c>
      <c r="E1652" s="11" t="s">
        <v>2074</v>
      </c>
      <c r="F1652" s="11" t="s">
        <v>285</v>
      </c>
      <c r="G1652" s="19">
        <v>9000</v>
      </c>
    </row>
    <row r="1653" spans="1:7">
      <c r="A1653" s="11" t="s">
        <v>130</v>
      </c>
      <c r="B1653" s="11" t="s">
        <v>36</v>
      </c>
      <c r="C1653" s="11" t="s">
        <v>15</v>
      </c>
      <c r="D1653" s="18">
        <v>45966</v>
      </c>
      <c r="E1653" s="11" t="s">
        <v>2075</v>
      </c>
      <c r="F1653" s="11" t="s">
        <v>1459</v>
      </c>
      <c r="G1653" s="19">
        <v>37100</v>
      </c>
    </row>
    <row r="1654" spans="1:7">
      <c r="A1654" s="11" t="s">
        <v>87</v>
      </c>
      <c r="B1654" s="11" t="s">
        <v>95</v>
      </c>
      <c r="C1654" s="11" t="s">
        <v>15</v>
      </c>
      <c r="D1654" s="18">
        <v>45966</v>
      </c>
      <c r="E1654" s="11" t="s">
        <v>2076</v>
      </c>
      <c r="F1654" s="11" t="s">
        <v>493</v>
      </c>
      <c r="G1654" s="19">
        <v>55000</v>
      </c>
    </row>
    <row r="1655" spans="1:7">
      <c r="A1655" s="11" t="s">
        <v>52</v>
      </c>
      <c r="B1655" s="11" t="s">
        <v>53</v>
      </c>
      <c r="C1655" s="11" t="s">
        <v>13</v>
      </c>
      <c r="D1655" s="18">
        <v>45966</v>
      </c>
      <c r="E1655" s="11" t="s">
        <v>2077</v>
      </c>
      <c r="F1655" s="11" t="s">
        <v>272</v>
      </c>
      <c r="G1655" s="19">
        <v>132400</v>
      </c>
    </row>
    <row r="1656" spans="1:7">
      <c r="A1656" s="11" t="s">
        <v>52</v>
      </c>
      <c r="B1656" s="11" t="s">
        <v>155</v>
      </c>
      <c r="C1656" s="11" t="s">
        <v>13</v>
      </c>
      <c r="D1656" s="18">
        <v>45966</v>
      </c>
      <c r="E1656" s="11" t="s">
        <v>2078</v>
      </c>
      <c r="F1656" s="11" t="s">
        <v>586</v>
      </c>
      <c r="G1656" s="19">
        <v>49870</v>
      </c>
    </row>
    <row r="1657" spans="1:7">
      <c r="A1657" s="11" t="s">
        <v>52</v>
      </c>
      <c r="B1657" s="11" t="s">
        <v>53</v>
      </c>
      <c r="C1657" s="11" t="s">
        <v>13</v>
      </c>
      <c r="D1657" s="18">
        <v>45966</v>
      </c>
      <c r="E1657" s="11" t="s">
        <v>2079</v>
      </c>
      <c r="F1657" s="11" t="s">
        <v>272</v>
      </c>
      <c r="G1657" s="19">
        <v>19000</v>
      </c>
    </row>
    <row r="1658" spans="1:7">
      <c r="A1658" s="11" t="s">
        <v>87</v>
      </c>
      <c r="B1658" s="11" t="s">
        <v>95</v>
      </c>
      <c r="C1658" s="11" t="s">
        <v>15</v>
      </c>
      <c r="D1658" s="18">
        <v>45966</v>
      </c>
      <c r="E1658" s="11" t="s">
        <v>2080</v>
      </c>
      <c r="F1658" s="11" t="s">
        <v>283</v>
      </c>
      <c r="G1658" s="19">
        <v>203510</v>
      </c>
    </row>
    <row r="1659" spans="1:7">
      <c r="A1659" s="11" t="s">
        <v>101</v>
      </c>
      <c r="B1659" s="11" t="s">
        <v>211</v>
      </c>
      <c r="C1659" s="11" t="s">
        <v>14</v>
      </c>
      <c r="D1659" s="18">
        <v>45966</v>
      </c>
      <c r="E1659" s="11" t="s">
        <v>2081</v>
      </c>
      <c r="F1659" s="11" t="s">
        <v>2082</v>
      </c>
      <c r="G1659" s="19">
        <v>205000</v>
      </c>
    </row>
    <row r="1660" spans="1:7">
      <c r="A1660" s="11" t="s">
        <v>104</v>
      </c>
      <c r="B1660" s="11" t="s">
        <v>214</v>
      </c>
      <c r="C1660" s="11" t="s">
        <v>14</v>
      </c>
      <c r="D1660" s="18">
        <v>45966</v>
      </c>
      <c r="E1660" s="11" t="s">
        <v>2083</v>
      </c>
      <c r="F1660" s="11" t="s">
        <v>283</v>
      </c>
      <c r="G1660" s="19">
        <v>121460</v>
      </c>
    </row>
    <row r="1661" spans="1:7">
      <c r="A1661" s="11" t="s">
        <v>101</v>
      </c>
      <c r="B1661" s="11" t="s">
        <v>211</v>
      </c>
      <c r="C1661" s="11" t="s">
        <v>14</v>
      </c>
      <c r="D1661" s="18">
        <v>45966</v>
      </c>
      <c r="E1661" s="11" t="s">
        <v>2084</v>
      </c>
      <c r="F1661" s="11" t="s">
        <v>2085</v>
      </c>
      <c r="G1661" s="19">
        <v>50000</v>
      </c>
    </row>
    <row r="1662" spans="1:7">
      <c r="A1662" s="11" t="s">
        <v>173</v>
      </c>
      <c r="B1662" s="11" t="s">
        <v>180</v>
      </c>
      <c r="C1662" s="11" t="s">
        <v>13</v>
      </c>
      <c r="D1662" s="18">
        <v>45966</v>
      </c>
      <c r="E1662" s="11" t="s">
        <v>2086</v>
      </c>
      <c r="F1662" s="11" t="s">
        <v>283</v>
      </c>
      <c r="G1662" s="19">
        <v>484140</v>
      </c>
    </row>
    <row r="1663" spans="1:7">
      <c r="A1663" s="11" t="s">
        <v>11</v>
      </c>
      <c r="B1663" s="11" t="s">
        <v>115</v>
      </c>
      <c r="C1663" s="11" t="s">
        <v>15</v>
      </c>
      <c r="D1663" s="18">
        <v>45966</v>
      </c>
      <c r="E1663" s="11" t="s">
        <v>2087</v>
      </c>
      <c r="F1663" s="11" t="s">
        <v>2088</v>
      </c>
      <c r="G1663" s="19">
        <v>30000</v>
      </c>
    </row>
    <row r="1664" spans="1:7">
      <c r="A1664" s="11" t="s">
        <v>101</v>
      </c>
      <c r="B1664" s="11" t="s">
        <v>211</v>
      </c>
      <c r="C1664" s="11" t="s">
        <v>14</v>
      </c>
      <c r="D1664" s="18">
        <v>45966</v>
      </c>
      <c r="E1664" s="11" t="s">
        <v>2089</v>
      </c>
      <c r="F1664" s="11" t="s">
        <v>451</v>
      </c>
      <c r="G1664" s="19">
        <v>100000</v>
      </c>
    </row>
    <row r="1665" spans="1:7">
      <c r="A1665" s="11" t="s">
        <v>11</v>
      </c>
      <c r="B1665" s="11" t="s">
        <v>115</v>
      </c>
      <c r="C1665" s="11" t="s">
        <v>15</v>
      </c>
      <c r="D1665" s="18">
        <v>45966</v>
      </c>
      <c r="E1665" s="11" t="s">
        <v>2090</v>
      </c>
      <c r="F1665" s="11" t="s">
        <v>845</v>
      </c>
      <c r="G1665" s="19">
        <v>184990</v>
      </c>
    </row>
    <row r="1666" spans="1:7">
      <c r="A1666" s="11" t="s">
        <v>104</v>
      </c>
      <c r="B1666" s="11" t="s">
        <v>108</v>
      </c>
      <c r="C1666" s="11" t="s">
        <v>12</v>
      </c>
      <c r="D1666" s="18">
        <v>45966</v>
      </c>
      <c r="E1666" s="11" t="s">
        <v>2091</v>
      </c>
      <c r="F1666" s="11" t="s">
        <v>1478</v>
      </c>
      <c r="G1666" s="19">
        <v>9000</v>
      </c>
    </row>
    <row r="1667" spans="1:7">
      <c r="A1667" s="11" t="s">
        <v>72</v>
      </c>
      <c r="B1667" s="11" t="s">
        <v>192</v>
      </c>
      <c r="C1667" s="11" t="s">
        <v>34</v>
      </c>
      <c r="D1667" s="18">
        <v>45966</v>
      </c>
      <c r="E1667" s="11" t="s">
        <v>2092</v>
      </c>
      <c r="F1667" s="11" t="s">
        <v>295</v>
      </c>
      <c r="G1667" s="19">
        <v>253400</v>
      </c>
    </row>
    <row r="1668" spans="1:7">
      <c r="A1668" s="11" t="s">
        <v>144</v>
      </c>
      <c r="B1668" s="11" t="s">
        <v>49</v>
      </c>
      <c r="C1668" s="11" t="s">
        <v>50</v>
      </c>
      <c r="D1668" s="18">
        <v>45966</v>
      </c>
      <c r="E1668" s="11" t="s">
        <v>2093</v>
      </c>
      <c r="F1668" s="11" t="s">
        <v>558</v>
      </c>
      <c r="G1668" s="19">
        <v>134000</v>
      </c>
    </row>
    <row r="1669" spans="1:7">
      <c r="A1669" s="11" t="s">
        <v>45</v>
      </c>
      <c r="B1669" s="11" t="s">
        <v>2094</v>
      </c>
      <c r="C1669" s="11" t="s">
        <v>34</v>
      </c>
      <c r="D1669" s="18">
        <v>45966</v>
      </c>
      <c r="E1669" s="11" t="s">
        <v>2095</v>
      </c>
      <c r="F1669" s="11" t="s">
        <v>2096</v>
      </c>
      <c r="G1669" s="19">
        <v>85500</v>
      </c>
    </row>
    <row r="1670" spans="1:7">
      <c r="A1670" s="11" t="s">
        <v>72</v>
      </c>
      <c r="B1670" s="11" t="s">
        <v>192</v>
      </c>
      <c r="C1670" s="11" t="s">
        <v>34</v>
      </c>
      <c r="D1670" s="18">
        <v>45966</v>
      </c>
      <c r="E1670" s="11" t="s">
        <v>2097</v>
      </c>
      <c r="F1670" s="11" t="s">
        <v>845</v>
      </c>
      <c r="G1670" s="19">
        <v>358730</v>
      </c>
    </row>
    <row r="1671" spans="1:7">
      <c r="A1671" s="11" t="s">
        <v>130</v>
      </c>
      <c r="B1671" s="11" t="s">
        <v>37</v>
      </c>
      <c r="C1671" s="11" t="s">
        <v>13</v>
      </c>
      <c r="D1671" s="18">
        <v>45966</v>
      </c>
      <c r="E1671" s="11" t="s">
        <v>2098</v>
      </c>
      <c r="F1671" s="11" t="s">
        <v>977</v>
      </c>
      <c r="G1671" s="19">
        <v>203400</v>
      </c>
    </row>
    <row r="1672" spans="1:7">
      <c r="A1672" s="11" t="s">
        <v>144</v>
      </c>
      <c r="B1672" s="11" t="s">
        <v>146</v>
      </c>
      <c r="C1672" s="11" t="s">
        <v>13</v>
      </c>
      <c r="D1672" s="18">
        <v>45966</v>
      </c>
      <c r="E1672" s="11" t="s">
        <v>2099</v>
      </c>
      <c r="F1672" s="11" t="s">
        <v>295</v>
      </c>
      <c r="G1672" s="19">
        <v>105000</v>
      </c>
    </row>
    <row r="1673" spans="1:7">
      <c r="A1673" s="11" t="s">
        <v>101</v>
      </c>
      <c r="B1673" s="11" t="s">
        <v>2008</v>
      </c>
      <c r="C1673" s="11" t="s">
        <v>64</v>
      </c>
      <c r="D1673" s="18">
        <v>45966</v>
      </c>
      <c r="E1673" s="11" t="s">
        <v>2100</v>
      </c>
      <c r="F1673" s="11" t="s">
        <v>486</v>
      </c>
      <c r="G1673" s="19">
        <v>79500</v>
      </c>
    </row>
    <row r="1674" spans="1:7">
      <c r="A1674" s="11" t="s">
        <v>43</v>
      </c>
      <c r="B1674" s="11" t="s">
        <v>139</v>
      </c>
      <c r="C1674" s="11" t="s">
        <v>13</v>
      </c>
      <c r="D1674" s="18">
        <v>45966</v>
      </c>
      <c r="E1674" s="11" t="s">
        <v>2101</v>
      </c>
      <c r="F1674" s="11" t="s">
        <v>2102</v>
      </c>
      <c r="G1674" s="19">
        <v>20000</v>
      </c>
    </row>
    <row r="1675" spans="1:7">
      <c r="A1675" s="11" t="s">
        <v>101</v>
      </c>
      <c r="B1675" s="11" t="s">
        <v>2008</v>
      </c>
      <c r="C1675" s="11" t="s">
        <v>64</v>
      </c>
      <c r="D1675" s="18">
        <v>45966</v>
      </c>
      <c r="E1675" s="11" t="s">
        <v>2103</v>
      </c>
      <c r="F1675" s="11" t="s">
        <v>1305</v>
      </c>
      <c r="G1675" s="19">
        <v>540000</v>
      </c>
    </row>
    <row r="1676" spans="1:7">
      <c r="A1676" s="11" t="s">
        <v>99</v>
      </c>
      <c r="B1676" s="11" t="s">
        <v>99</v>
      </c>
      <c r="C1676" s="11" t="s">
        <v>14</v>
      </c>
      <c r="D1676" s="18">
        <v>45966</v>
      </c>
      <c r="E1676" s="11" t="s">
        <v>2104</v>
      </c>
      <c r="F1676" s="11" t="s">
        <v>486</v>
      </c>
      <c r="G1676" s="19">
        <v>6000</v>
      </c>
    </row>
    <row r="1677" spans="1:7">
      <c r="A1677" s="11" t="s">
        <v>104</v>
      </c>
      <c r="B1677" s="11" t="s">
        <v>108</v>
      </c>
      <c r="C1677" s="11" t="s">
        <v>14</v>
      </c>
      <c r="D1677" s="18">
        <v>45966</v>
      </c>
      <c r="E1677" s="11" t="s">
        <v>2104</v>
      </c>
      <c r="F1677" s="11" t="s">
        <v>486</v>
      </c>
      <c r="G1677" s="19">
        <v>17920</v>
      </c>
    </row>
    <row r="1678" spans="1:7">
      <c r="A1678" s="11" t="s">
        <v>104</v>
      </c>
      <c r="B1678" s="11" t="s">
        <v>105</v>
      </c>
      <c r="C1678" s="11" t="s">
        <v>14</v>
      </c>
      <c r="D1678" s="18">
        <v>45966</v>
      </c>
      <c r="E1678" s="11" t="s">
        <v>2105</v>
      </c>
      <c r="F1678" s="11" t="s">
        <v>954</v>
      </c>
      <c r="G1678" s="19">
        <v>240000</v>
      </c>
    </row>
    <row r="1679" spans="1:7">
      <c r="A1679" s="11" t="s">
        <v>104</v>
      </c>
      <c r="B1679" s="11" t="s">
        <v>214</v>
      </c>
      <c r="C1679" s="11" t="s">
        <v>14</v>
      </c>
      <c r="D1679" s="18">
        <v>45966</v>
      </c>
      <c r="E1679" s="11" t="s">
        <v>2106</v>
      </c>
      <c r="F1679" s="11" t="s">
        <v>2107</v>
      </c>
      <c r="G1679" s="19">
        <v>78000</v>
      </c>
    </row>
    <row r="1680" spans="1:7">
      <c r="A1680" s="11" t="s">
        <v>104</v>
      </c>
      <c r="B1680" s="11" t="s">
        <v>214</v>
      </c>
      <c r="C1680" s="11" t="s">
        <v>14</v>
      </c>
      <c r="D1680" s="18">
        <v>45966</v>
      </c>
      <c r="E1680" s="11" t="s">
        <v>2108</v>
      </c>
      <c r="F1680" s="11" t="s">
        <v>600</v>
      </c>
      <c r="G1680" s="19">
        <v>40500</v>
      </c>
    </row>
    <row r="1681" spans="1:7">
      <c r="A1681" s="11" t="s">
        <v>75</v>
      </c>
      <c r="B1681" s="11" t="s">
        <v>76</v>
      </c>
      <c r="C1681" s="11" t="s">
        <v>15</v>
      </c>
      <c r="D1681" s="18">
        <v>45966</v>
      </c>
      <c r="E1681" s="11" t="s">
        <v>2109</v>
      </c>
      <c r="F1681" s="11" t="s">
        <v>283</v>
      </c>
      <c r="G1681" s="19">
        <v>178780</v>
      </c>
    </row>
    <row r="1682" spans="1:7">
      <c r="A1682" s="11" t="s">
        <v>72</v>
      </c>
      <c r="B1682" s="11" t="s">
        <v>192</v>
      </c>
      <c r="C1682" s="11" t="s">
        <v>34</v>
      </c>
      <c r="D1682" s="18">
        <v>45966</v>
      </c>
      <c r="E1682" s="11" t="s">
        <v>2110</v>
      </c>
      <c r="F1682" s="11" t="s">
        <v>295</v>
      </c>
      <c r="G1682" s="19">
        <v>56400</v>
      </c>
    </row>
    <row r="1683" spans="1:7">
      <c r="A1683" s="11" t="s">
        <v>101</v>
      </c>
      <c r="B1683" s="11" t="s">
        <v>211</v>
      </c>
      <c r="C1683" s="11" t="s">
        <v>14</v>
      </c>
      <c r="D1683" s="18">
        <v>45966</v>
      </c>
      <c r="E1683" s="11" t="s">
        <v>2111</v>
      </c>
      <c r="F1683" s="11" t="s">
        <v>283</v>
      </c>
      <c r="G1683" s="19">
        <v>58780</v>
      </c>
    </row>
    <row r="1684" spans="1:7">
      <c r="A1684" s="11" t="s">
        <v>72</v>
      </c>
      <c r="B1684" s="11" t="s">
        <v>192</v>
      </c>
      <c r="C1684" s="11" t="s">
        <v>34</v>
      </c>
      <c r="D1684" s="18">
        <v>45966</v>
      </c>
      <c r="E1684" s="11" t="s">
        <v>2112</v>
      </c>
      <c r="F1684" s="11" t="s">
        <v>283</v>
      </c>
      <c r="G1684" s="19">
        <v>49980</v>
      </c>
    </row>
    <row r="1685" spans="1:7">
      <c r="A1685" s="11" t="s">
        <v>72</v>
      </c>
      <c r="B1685" s="11" t="s">
        <v>192</v>
      </c>
      <c r="C1685" s="11" t="s">
        <v>34</v>
      </c>
      <c r="D1685" s="18">
        <v>45966</v>
      </c>
      <c r="E1685" s="11" t="s">
        <v>2113</v>
      </c>
      <c r="F1685" s="11" t="s">
        <v>283</v>
      </c>
      <c r="G1685" s="19">
        <v>37900</v>
      </c>
    </row>
    <row r="1686" spans="1:7">
      <c r="A1686" s="11" t="s">
        <v>72</v>
      </c>
      <c r="B1686" s="11" t="s">
        <v>192</v>
      </c>
      <c r="C1686" s="11" t="s">
        <v>34</v>
      </c>
      <c r="D1686" s="18">
        <v>45966</v>
      </c>
      <c r="E1686" s="11" t="s">
        <v>2114</v>
      </c>
      <c r="F1686" s="11" t="s">
        <v>295</v>
      </c>
      <c r="G1686" s="19">
        <v>36000</v>
      </c>
    </row>
    <row r="1687" spans="1:7">
      <c r="A1687" s="11" t="s">
        <v>11</v>
      </c>
      <c r="B1687" s="11" t="s">
        <v>115</v>
      </c>
      <c r="C1687" s="11" t="s">
        <v>15</v>
      </c>
      <c r="D1687" s="18">
        <v>45966</v>
      </c>
      <c r="E1687" s="11" t="s">
        <v>2115</v>
      </c>
      <c r="F1687" s="11" t="s">
        <v>484</v>
      </c>
      <c r="G1687" s="19">
        <v>15750</v>
      </c>
    </row>
    <row r="1688" spans="1:7">
      <c r="A1688" s="11" t="s">
        <v>104</v>
      </c>
      <c r="B1688" s="11" t="s">
        <v>214</v>
      </c>
      <c r="C1688" s="11" t="s">
        <v>14</v>
      </c>
      <c r="D1688" s="18">
        <v>45966</v>
      </c>
      <c r="E1688" s="11" t="s">
        <v>2116</v>
      </c>
      <c r="F1688" s="11" t="s">
        <v>586</v>
      </c>
      <c r="G1688" s="19">
        <v>178730</v>
      </c>
    </row>
    <row r="1689" spans="1:7">
      <c r="A1689" s="11" t="s">
        <v>144</v>
      </c>
      <c r="B1689" s="11" t="s">
        <v>153</v>
      </c>
      <c r="C1689" s="11" t="s">
        <v>13</v>
      </c>
      <c r="D1689" s="18">
        <v>45966</v>
      </c>
      <c r="E1689" s="11" t="s">
        <v>2117</v>
      </c>
      <c r="F1689" s="11" t="s">
        <v>484</v>
      </c>
      <c r="G1689" s="19">
        <v>79470</v>
      </c>
    </row>
    <row r="1690" spans="1:7">
      <c r="A1690" s="11" t="s">
        <v>87</v>
      </c>
      <c r="B1690" s="11" t="s">
        <v>96</v>
      </c>
      <c r="C1690" s="11" t="s">
        <v>15</v>
      </c>
      <c r="D1690" s="18">
        <v>45966</v>
      </c>
      <c r="E1690" s="11" t="s">
        <v>2118</v>
      </c>
      <c r="F1690" s="11" t="s">
        <v>586</v>
      </c>
      <c r="G1690" s="19">
        <v>710430</v>
      </c>
    </row>
    <row r="1691" spans="1:7">
      <c r="A1691" s="11" t="s">
        <v>43</v>
      </c>
      <c r="B1691" s="11" t="s">
        <v>139</v>
      </c>
      <c r="C1691" s="11" t="s">
        <v>13</v>
      </c>
      <c r="D1691" s="18">
        <v>45966</v>
      </c>
      <c r="E1691" s="11" t="s">
        <v>2119</v>
      </c>
      <c r="F1691" s="11" t="s">
        <v>484</v>
      </c>
      <c r="G1691" s="19">
        <v>148100</v>
      </c>
    </row>
    <row r="1692" spans="1:7">
      <c r="A1692" s="11" t="s">
        <v>17</v>
      </c>
      <c r="B1692" s="11" t="s">
        <v>118</v>
      </c>
      <c r="C1692" s="11" t="s">
        <v>14</v>
      </c>
      <c r="D1692" s="18">
        <v>45966</v>
      </c>
      <c r="E1692" s="11" t="s">
        <v>2120</v>
      </c>
      <c r="F1692" s="11" t="s">
        <v>2121</v>
      </c>
      <c r="G1692" s="19">
        <v>140000</v>
      </c>
    </row>
    <row r="1693" spans="1:7">
      <c r="A1693" s="11" t="s">
        <v>55</v>
      </c>
      <c r="B1693" s="11" t="s">
        <v>165</v>
      </c>
      <c r="C1693" s="11" t="s">
        <v>13</v>
      </c>
      <c r="D1693" s="18">
        <v>45966</v>
      </c>
      <c r="E1693" s="11" t="s">
        <v>2122</v>
      </c>
      <c r="F1693" s="11" t="s">
        <v>826</v>
      </c>
      <c r="G1693" s="19">
        <v>224000</v>
      </c>
    </row>
    <row r="1694" spans="1:7">
      <c r="A1694" s="11" t="s">
        <v>17</v>
      </c>
      <c r="B1694" s="11" t="s">
        <v>118</v>
      </c>
      <c r="C1694" s="11" t="s">
        <v>14</v>
      </c>
      <c r="D1694" s="18">
        <v>45966</v>
      </c>
      <c r="E1694" s="11" t="s">
        <v>2123</v>
      </c>
      <c r="F1694" s="11" t="s">
        <v>2124</v>
      </c>
      <c r="G1694" s="19">
        <v>66000</v>
      </c>
    </row>
    <row r="1695" spans="1:7">
      <c r="A1695" s="11" t="s">
        <v>104</v>
      </c>
      <c r="B1695" s="11" t="s">
        <v>108</v>
      </c>
      <c r="C1695" s="11" t="s">
        <v>14</v>
      </c>
      <c r="D1695" s="18">
        <v>45966</v>
      </c>
      <c r="E1695" s="11" t="s">
        <v>2125</v>
      </c>
      <c r="F1695" s="11" t="s">
        <v>2126</v>
      </c>
      <c r="G1695" s="19">
        <v>240000</v>
      </c>
    </row>
    <row r="1696" spans="1:7">
      <c r="A1696" s="11" t="s">
        <v>144</v>
      </c>
      <c r="B1696" s="11" t="s">
        <v>49</v>
      </c>
      <c r="C1696" s="11" t="s">
        <v>50</v>
      </c>
      <c r="D1696" s="18">
        <v>45966</v>
      </c>
      <c r="E1696" s="11" t="s">
        <v>2127</v>
      </c>
      <c r="F1696" s="11" t="s">
        <v>586</v>
      </c>
      <c r="G1696" s="19">
        <v>442480</v>
      </c>
    </row>
    <row r="1697" spans="1:7">
      <c r="A1697" s="11" t="s">
        <v>104</v>
      </c>
      <c r="B1697" s="11" t="s">
        <v>214</v>
      </c>
      <c r="C1697" s="11" t="s">
        <v>14</v>
      </c>
      <c r="D1697" s="18">
        <v>45966</v>
      </c>
      <c r="E1697" s="11" t="s">
        <v>2128</v>
      </c>
      <c r="F1697" s="11" t="s">
        <v>2129</v>
      </c>
      <c r="G1697" s="19">
        <v>72000</v>
      </c>
    </row>
    <row r="1698" spans="1:7">
      <c r="A1698" s="11" t="s">
        <v>173</v>
      </c>
      <c r="B1698" s="11" t="s">
        <v>180</v>
      </c>
      <c r="C1698" s="11" t="s">
        <v>13</v>
      </c>
      <c r="D1698" s="18">
        <v>45966</v>
      </c>
      <c r="E1698" s="11" t="s">
        <v>2130</v>
      </c>
      <c r="F1698" s="11" t="s">
        <v>751</v>
      </c>
      <c r="G1698" s="19">
        <v>493000</v>
      </c>
    </row>
    <row r="1699" spans="1:7">
      <c r="A1699" s="11" t="s">
        <v>173</v>
      </c>
      <c r="B1699" s="11" t="s">
        <v>180</v>
      </c>
      <c r="C1699" s="11" t="s">
        <v>13</v>
      </c>
      <c r="D1699" s="18">
        <v>45966</v>
      </c>
      <c r="E1699" s="11" t="s">
        <v>2131</v>
      </c>
      <c r="F1699" s="11" t="s">
        <v>283</v>
      </c>
      <c r="G1699" s="19">
        <v>2045970</v>
      </c>
    </row>
    <row r="1700" spans="1:7">
      <c r="A1700" s="11" t="s">
        <v>43</v>
      </c>
      <c r="B1700" s="11" t="s">
        <v>139</v>
      </c>
      <c r="C1700" s="11" t="s">
        <v>13</v>
      </c>
      <c r="D1700" s="18">
        <v>45966</v>
      </c>
      <c r="E1700" s="11" t="s">
        <v>2132</v>
      </c>
      <c r="F1700" s="11" t="s">
        <v>1345</v>
      </c>
      <c r="G1700" s="19">
        <v>15000</v>
      </c>
    </row>
    <row r="1701" spans="1:7">
      <c r="A1701" s="11" t="s">
        <v>72</v>
      </c>
      <c r="B1701" s="11" t="s">
        <v>192</v>
      </c>
      <c r="C1701" s="11" t="s">
        <v>34</v>
      </c>
      <c r="D1701" s="18">
        <v>45966</v>
      </c>
      <c r="E1701" s="11" t="s">
        <v>2133</v>
      </c>
      <c r="F1701" s="11" t="s">
        <v>283</v>
      </c>
      <c r="G1701" s="19">
        <v>130600</v>
      </c>
    </row>
    <row r="1702" spans="1:7">
      <c r="A1702" s="11" t="s">
        <v>75</v>
      </c>
      <c r="B1702" s="11" t="s">
        <v>76</v>
      </c>
      <c r="C1702" s="11" t="s">
        <v>15</v>
      </c>
      <c r="D1702" s="18">
        <v>45966</v>
      </c>
      <c r="E1702" s="11" t="s">
        <v>2134</v>
      </c>
      <c r="F1702" s="11" t="s">
        <v>283</v>
      </c>
      <c r="G1702" s="19">
        <v>209500</v>
      </c>
    </row>
    <row r="1703" spans="1:7">
      <c r="A1703" s="11" t="s">
        <v>144</v>
      </c>
      <c r="B1703" s="11" t="s">
        <v>146</v>
      </c>
      <c r="C1703" s="11" t="s">
        <v>13</v>
      </c>
      <c r="D1703" s="18">
        <v>45966</v>
      </c>
      <c r="E1703" s="11" t="s">
        <v>2135</v>
      </c>
      <c r="F1703" s="11" t="s">
        <v>586</v>
      </c>
      <c r="G1703" s="19">
        <v>111450</v>
      </c>
    </row>
    <row r="1704" spans="1:7">
      <c r="A1704" s="11" t="s">
        <v>72</v>
      </c>
      <c r="B1704" s="11" t="s">
        <v>192</v>
      </c>
      <c r="C1704" s="11" t="s">
        <v>34</v>
      </c>
      <c r="D1704" s="18">
        <v>45966</v>
      </c>
      <c r="E1704" s="11" t="s">
        <v>2136</v>
      </c>
      <c r="F1704" s="11" t="s">
        <v>283</v>
      </c>
      <c r="G1704" s="19">
        <v>117690</v>
      </c>
    </row>
    <row r="1705" spans="1:7">
      <c r="A1705" s="11" t="s">
        <v>101</v>
      </c>
      <c r="B1705" s="11" t="s">
        <v>211</v>
      </c>
      <c r="C1705" s="11" t="s">
        <v>15</v>
      </c>
      <c r="D1705" s="18">
        <v>45966</v>
      </c>
      <c r="E1705" s="11" t="s">
        <v>2137</v>
      </c>
      <c r="F1705" s="11" t="s">
        <v>283</v>
      </c>
      <c r="G1705" s="19">
        <v>626960</v>
      </c>
    </row>
    <row r="1706" spans="1:7">
      <c r="A1706" s="11" t="s">
        <v>43</v>
      </c>
      <c r="B1706" s="11" t="s">
        <v>139</v>
      </c>
      <c r="C1706" s="11" t="s">
        <v>34</v>
      </c>
      <c r="D1706" s="18">
        <v>45966</v>
      </c>
      <c r="E1706" s="11" t="s">
        <v>2138</v>
      </c>
      <c r="F1706" s="11" t="s">
        <v>2139</v>
      </c>
      <c r="G1706" s="19">
        <v>450000</v>
      </c>
    </row>
    <row r="1707" spans="1:7">
      <c r="A1707" s="11" t="s">
        <v>17</v>
      </c>
      <c r="B1707" s="11" t="s">
        <v>118</v>
      </c>
      <c r="C1707" s="11" t="s">
        <v>14</v>
      </c>
      <c r="D1707" s="18">
        <v>45966</v>
      </c>
      <c r="E1707" s="11" t="s">
        <v>2140</v>
      </c>
      <c r="F1707" s="11" t="s">
        <v>1345</v>
      </c>
      <c r="G1707" s="19">
        <v>140000</v>
      </c>
    </row>
    <row r="1708" spans="1:7">
      <c r="A1708" s="11" t="s">
        <v>11</v>
      </c>
      <c r="B1708" s="11" t="s">
        <v>115</v>
      </c>
      <c r="C1708" s="11" t="s">
        <v>15</v>
      </c>
      <c r="D1708" s="18">
        <v>45966</v>
      </c>
      <c r="E1708" s="11" t="s">
        <v>2141</v>
      </c>
      <c r="F1708" s="11" t="s">
        <v>2142</v>
      </c>
      <c r="G1708" s="19">
        <v>40000</v>
      </c>
    </row>
    <row r="1709" spans="1:7">
      <c r="A1709" s="11" t="s">
        <v>28</v>
      </c>
      <c r="B1709" s="11" t="s">
        <v>126</v>
      </c>
      <c r="C1709" s="11" t="s">
        <v>15</v>
      </c>
      <c r="D1709" s="18">
        <v>45967</v>
      </c>
      <c r="E1709" s="11" t="s">
        <v>2143</v>
      </c>
      <c r="F1709" s="11" t="s">
        <v>428</v>
      </c>
      <c r="G1709" s="19">
        <v>5736120</v>
      </c>
    </row>
    <row r="1710" spans="1:7">
      <c r="A1710" s="11" t="s">
        <v>173</v>
      </c>
      <c r="B1710" s="11" t="s">
        <v>180</v>
      </c>
      <c r="C1710" s="11" t="s">
        <v>13</v>
      </c>
      <c r="D1710" s="18">
        <v>45967</v>
      </c>
      <c r="E1710" s="11" t="s">
        <v>2144</v>
      </c>
      <c r="F1710" s="11" t="s">
        <v>283</v>
      </c>
      <c r="G1710" s="19">
        <v>432100</v>
      </c>
    </row>
    <row r="1711" spans="1:7">
      <c r="A1711" s="11" t="s">
        <v>28</v>
      </c>
      <c r="B1711" s="11" t="s">
        <v>125</v>
      </c>
      <c r="C1711" s="11" t="s">
        <v>32</v>
      </c>
      <c r="D1711" s="18">
        <v>45967</v>
      </c>
      <c r="E1711" s="11" t="s">
        <v>2145</v>
      </c>
      <c r="F1711" s="11" t="s">
        <v>411</v>
      </c>
      <c r="G1711" s="19">
        <v>15724590</v>
      </c>
    </row>
    <row r="1712" spans="1:7">
      <c r="A1712" s="11" t="s">
        <v>28</v>
      </c>
      <c r="B1712" s="11" t="s">
        <v>125</v>
      </c>
      <c r="C1712" s="11" t="s">
        <v>32</v>
      </c>
      <c r="D1712" s="18">
        <v>45967</v>
      </c>
      <c r="E1712" s="11" t="s">
        <v>2146</v>
      </c>
      <c r="F1712" s="11" t="s">
        <v>413</v>
      </c>
      <c r="G1712" s="19">
        <v>11386240</v>
      </c>
    </row>
    <row r="1713" spans="1:7">
      <c r="A1713" s="11" t="s">
        <v>28</v>
      </c>
      <c r="B1713" s="11" t="s">
        <v>125</v>
      </c>
      <c r="C1713" s="11" t="s">
        <v>32</v>
      </c>
      <c r="D1713" s="18">
        <v>45967</v>
      </c>
      <c r="E1713" s="11" t="s">
        <v>2147</v>
      </c>
      <c r="F1713" s="11" t="s">
        <v>415</v>
      </c>
      <c r="G1713" s="19">
        <v>7181210</v>
      </c>
    </row>
    <row r="1714" spans="1:7">
      <c r="A1714" s="11" t="s">
        <v>173</v>
      </c>
      <c r="B1714" s="11" t="s">
        <v>180</v>
      </c>
      <c r="C1714" s="11" t="s">
        <v>13</v>
      </c>
      <c r="D1714" s="18">
        <v>45967</v>
      </c>
      <c r="E1714" s="11" t="s">
        <v>2148</v>
      </c>
      <c r="F1714" s="11" t="s">
        <v>283</v>
      </c>
      <c r="G1714" s="19">
        <v>430380</v>
      </c>
    </row>
    <row r="1715" spans="1:7">
      <c r="A1715" s="11" t="s">
        <v>28</v>
      </c>
      <c r="B1715" s="11" t="s">
        <v>125</v>
      </c>
      <c r="C1715" s="11" t="s">
        <v>32</v>
      </c>
      <c r="D1715" s="18">
        <v>45967</v>
      </c>
      <c r="E1715" s="11" t="s">
        <v>2149</v>
      </c>
      <c r="F1715" s="11" t="s">
        <v>2150</v>
      </c>
      <c r="G1715" s="19">
        <v>22044130</v>
      </c>
    </row>
    <row r="1716" spans="1:7">
      <c r="A1716" s="11" t="s">
        <v>28</v>
      </c>
      <c r="B1716" s="11" t="s">
        <v>125</v>
      </c>
      <c r="C1716" s="11" t="s">
        <v>32</v>
      </c>
      <c r="D1716" s="18">
        <v>45967</v>
      </c>
      <c r="E1716" s="11" t="s">
        <v>2151</v>
      </c>
      <c r="F1716" s="11" t="s">
        <v>419</v>
      </c>
      <c r="G1716" s="19">
        <v>2684500</v>
      </c>
    </row>
    <row r="1717" spans="1:7">
      <c r="A1717" s="11" t="s">
        <v>54</v>
      </c>
      <c r="B1717" s="11" t="s">
        <v>157</v>
      </c>
      <c r="C1717" s="11" t="s">
        <v>13</v>
      </c>
      <c r="D1717" s="18">
        <v>45967</v>
      </c>
      <c r="E1717" s="11" t="s">
        <v>2152</v>
      </c>
      <c r="F1717" s="11" t="s">
        <v>2153</v>
      </c>
      <c r="G1717" s="19">
        <v>10800000</v>
      </c>
    </row>
    <row r="1718" spans="1:7">
      <c r="A1718" s="11" t="s">
        <v>28</v>
      </c>
      <c r="B1718" s="11" t="s">
        <v>128</v>
      </c>
      <c r="C1718" s="11" t="s">
        <v>32</v>
      </c>
      <c r="D1718" s="18">
        <v>45967</v>
      </c>
      <c r="E1718" s="11" t="s">
        <v>2154</v>
      </c>
      <c r="F1718" s="11" t="s">
        <v>417</v>
      </c>
      <c r="G1718" s="19">
        <v>3488200</v>
      </c>
    </row>
    <row r="1719" spans="1:7">
      <c r="A1719" s="11" t="s">
        <v>72</v>
      </c>
      <c r="B1719" s="11" t="s">
        <v>192</v>
      </c>
      <c r="C1719" s="11" t="s">
        <v>25</v>
      </c>
      <c r="D1719" s="18">
        <v>45967</v>
      </c>
      <c r="E1719" s="11" t="s">
        <v>2155</v>
      </c>
      <c r="F1719" s="11" t="s">
        <v>611</v>
      </c>
      <c r="G1719" s="19">
        <v>960000</v>
      </c>
    </row>
    <row r="1720" spans="1:7">
      <c r="A1720" s="11" t="s">
        <v>144</v>
      </c>
      <c r="B1720" s="11" t="s">
        <v>51</v>
      </c>
      <c r="C1720" s="11" t="s">
        <v>25</v>
      </c>
      <c r="D1720" s="18">
        <v>45967</v>
      </c>
      <c r="E1720" s="11" t="s">
        <v>2156</v>
      </c>
      <c r="F1720" s="11" t="s">
        <v>2157</v>
      </c>
      <c r="G1720" s="19">
        <v>180000</v>
      </c>
    </row>
    <row r="1721" spans="1:7">
      <c r="A1721" s="11" t="s">
        <v>104</v>
      </c>
      <c r="B1721" s="11" t="s">
        <v>108</v>
      </c>
      <c r="C1721" s="11" t="s">
        <v>15</v>
      </c>
      <c r="D1721" s="18">
        <v>45967</v>
      </c>
      <c r="E1721" s="11" t="s">
        <v>2158</v>
      </c>
      <c r="F1721" s="11" t="s">
        <v>255</v>
      </c>
      <c r="G1721" s="19">
        <v>120</v>
      </c>
    </row>
    <row r="1722" spans="1:7">
      <c r="A1722" s="11" t="s">
        <v>28</v>
      </c>
      <c r="B1722" s="11" t="s">
        <v>29</v>
      </c>
      <c r="C1722" s="11" t="s">
        <v>15</v>
      </c>
      <c r="D1722" s="18">
        <v>45968</v>
      </c>
      <c r="E1722" s="11" t="s">
        <v>2159</v>
      </c>
      <c r="F1722" s="11" t="s">
        <v>319</v>
      </c>
      <c r="G1722" s="19">
        <v>479600</v>
      </c>
    </row>
    <row r="1723" spans="1:7">
      <c r="A1723" s="11" t="s">
        <v>22</v>
      </c>
      <c r="B1723" s="11" t="s">
        <v>119</v>
      </c>
      <c r="C1723" s="11" t="s">
        <v>120</v>
      </c>
      <c r="D1723" s="18">
        <v>45968</v>
      </c>
      <c r="E1723" s="11" t="s">
        <v>2160</v>
      </c>
      <c r="F1723" s="11" t="s">
        <v>2024</v>
      </c>
      <c r="G1723" s="19">
        <v>242800</v>
      </c>
    </row>
    <row r="1724" spans="1:7">
      <c r="A1724" s="11" t="s">
        <v>22</v>
      </c>
      <c r="B1724" s="11" t="s">
        <v>119</v>
      </c>
      <c r="C1724" s="11" t="s">
        <v>120</v>
      </c>
      <c r="D1724" s="18">
        <v>45968</v>
      </c>
      <c r="E1724" s="11" t="s">
        <v>2161</v>
      </c>
      <c r="F1724" s="11" t="s">
        <v>2024</v>
      </c>
      <c r="G1724" s="19">
        <v>60700</v>
      </c>
    </row>
    <row r="1725" spans="1:7">
      <c r="A1725" s="11" t="s">
        <v>22</v>
      </c>
      <c r="B1725" s="11" t="s">
        <v>119</v>
      </c>
      <c r="C1725" s="11" t="s">
        <v>120</v>
      </c>
      <c r="D1725" s="18">
        <v>45968</v>
      </c>
      <c r="E1725" s="11" t="s">
        <v>2162</v>
      </c>
      <c r="F1725" s="11" t="s">
        <v>338</v>
      </c>
      <c r="G1725" s="19">
        <v>72840</v>
      </c>
    </row>
    <row r="1726" spans="1:7">
      <c r="A1726" s="11" t="s">
        <v>173</v>
      </c>
      <c r="B1726" s="11" t="s">
        <v>180</v>
      </c>
      <c r="C1726" s="11" t="s">
        <v>151</v>
      </c>
      <c r="D1726" s="18">
        <v>45968</v>
      </c>
      <c r="E1726" s="11" t="s">
        <v>2163</v>
      </c>
      <c r="F1726" s="11" t="s">
        <v>502</v>
      </c>
      <c r="G1726" s="19">
        <v>20280</v>
      </c>
    </row>
    <row r="1727" spans="1:7">
      <c r="A1727" s="11" t="s">
        <v>72</v>
      </c>
      <c r="B1727" s="11" t="s">
        <v>192</v>
      </c>
      <c r="C1727" s="11" t="s">
        <v>151</v>
      </c>
      <c r="D1727" s="18">
        <v>45968</v>
      </c>
      <c r="E1727" s="11" t="s">
        <v>2163</v>
      </c>
      <c r="F1727" s="11" t="s">
        <v>502</v>
      </c>
      <c r="G1727" s="19">
        <v>357560</v>
      </c>
    </row>
    <row r="1728" spans="1:7">
      <c r="A1728" s="11" t="s">
        <v>200</v>
      </c>
      <c r="B1728" s="11" t="s">
        <v>201</v>
      </c>
      <c r="C1728" s="11" t="s">
        <v>151</v>
      </c>
      <c r="D1728" s="18">
        <v>45968</v>
      </c>
      <c r="E1728" s="11" t="s">
        <v>2163</v>
      </c>
      <c r="F1728" s="11" t="s">
        <v>502</v>
      </c>
      <c r="G1728" s="19">
        <v>239440</v>
      </c>
    </row>
    <row r="1729" spans="1:7">
      <c r="A1729" s="11" t="s">
        <v>55</v>
      </c>
      <c r="B1729" s="11" t="s">
        <v>163</v>
      </c>
      <c r="C1729" s="11" t="s">
        <v>151</v>
      </c>
      <c r="D1729" s="18">
        <v>45968</v>
      </c>
      <c r="E1729" s="11" t="s">
        <v>2163</v>
      </c>
      <c r="F1729" s="11" t="s">
        <v>502</v>
      </c>
      <c r="G1729" s="19">
        <v>309110</v>
      </c>
    </row>
    <row r="1730" spans="1:7">
      <c r="A1730" s="11" t="s">
        <v>54</v>
      </c>
      <c r="B1730" s="11" t="s">
        <v>1694</v>
      </c>
      <c r="C1730" s="11" t="s">
        <v>120</v>
      </c>
      <c r="D1730" s="18">
        <v>45968</v>
      </c>
      <c r="E1730" s="11" t="s">
        <v>2163</v>
      </c>
      <c r="F1730" s="11" t="s">
        <v>502</v>
      </c>
      <c r="G1730" s="19">
        <v>331200</v>
      </c>
    </row>
    <row r="1731" spans="1:7">
      <c r="A1731" s="11" t="s">
        <v>144</v>
      </c>
      <c r="B1731" s="11" t="s">
        <v>2042</v>
      </c>
      <c r="C1731" s="11" t="s">
        <v>25</v>
      </c>
      <c r="D1731" s="18">
        <v>45968</v>
      </c>
      <c r="E1731" s="11" t="s">
        <v>2163</v>
      </c>
      <c r="F1731" s="11" t="s">
        <v>502</v>
      </c>
      <c r="G1731" s="19">
        <v>76080</v>
      </c>
    </row>
    <row r="1732" spans="1:7">
      <c r="A1732" s="11" t="s">
        <v>22</v>
      </c>
      <c r="B1732" s="11" t="s">
        <v>121</v>
      </c>
      <c r="C1732" s="11" t="s">
        <v>122</v>
      </c>
      <c r="D1732" s="18">
        <v>45968</v>
      </c>
      <c r="E1732" s="11" t="s">
        <v>2163</v>
      </c>
      <c r="F1732" s="11" t="s">
        <v>502</v>
      </c>
      <c r="G1732" s="19">
        <v>188710</v>
      </c>
    </row>
    <row r="1733" spans="1:7">
      <c r="A1733" s="11" t="s">
        <v>22</v>
      </c>
      <c r="B1733" s="11" t="s">
        <v>23</v>
      </c>
      <c r="C1733" s="11" t="s">
        <v>24</v>
      </c>
      <c r="D1733" s="18">
        <v>45968</v>
      </c>
      <c r="E1733" s="11" t="s">
        <v>2163</v>
      </c>
      <c r="F1733" s="11" t="s">
        <v>502</v>
      </c>
      <c r="G1733" s="19">
        <v>970430</v>
      </c>
    </row>
    <row r="1734" spans="1:7">
      <c r="A1734" s="11" t="s">
        <v>109</v>
      </c>
      <c r="B1734" s="11" t="s">
        <v>215</v>
      </c>
      <c r="C1734" s="11" t="s">
        <v>120</v>
      </c>
      <c r="D1734" s="18">
        <v>45968</v>
      </c>
      <c r="E1734" s="11" t="s">
        <v>2163</v>
      </c>
      <c r="F1734" s="11" t="s">
        <v>502</v>
      </c>
      <c r="G1734" s="19">
        <v>95870</v>
      </c>
    </row>
    <row r="1735" spans="1:7">
      <c r="A1735" s="11" t="s">
        <v>22</v>
      </c>
      <c r="B1735" s="11" t="s">
        <v>119</v>
      </c>
      <c r="C1735" s="11" t="s">
        <v>120</v>
      </c>
      <c r="D1735" s="18">
        <v>45968</v>
      </c>
      <c r="E1735" s="11" t="s">
        <v>2163</v>
      </c>
      <c r="F1735" s="11" t="s">
        <v>502</v>
      </c>
      <c r="G1735" s="19">
        <v>1283300</v>
      </c>
    </row>
    <row r="1736" spans="1:7">
      <c r="A1736" s="11" t="s">
        <v>28</v>
      </c>
      <c r="B1736" s="11" t="s">
        <v>125</v>
      </c>
      <c r="C1736" s="11" t="s">
        <v>32</v>
      </c>
      <c r="D1736" s="18">
        <v>45972</v>
      </c>
      <c r="E1736" s="11" t="s">
        <v>2164</v>
      </c>
      <c r="F1736" s="11" t="s">
        <v>687</v>
      </c>
      <c r="G1736" s="19">
        <v>88000</v>
      </c>
    </row>
    <row r="1737" spans="1:7">
      <c r="A1737" s="11" t="s">
        <v>62</v>
      </c>
      <c r="B1737" s="11" t="s">
        <v>171</v>
      </c>
      <c r="C1737" s="11" t="s">
        <v>25</v>
      </c>
      <c r="D1737" s="18">
        <v>45973</v>
      </c>
      <c r="E1737" s="11" t="s">
        <v>2165</v>
      </c>
      <c r="F1737" s="11" t="s">
        <v>538</v>
      </c>
      <c r="G1737" s="19">
        <v>18967710</v>
      </c>
    </row>
    <row r="1738" spans="1:7">
      <c r="A1738" s="11" t="s">
        <v>173</v>
      </c>
      <c r="B1738" s="11" t="s">
        <v>182</v>
      </c>
      <c r="C1738" s="11" t="s">
        <v>25</v>
      </c>
      <c r="D1738" s="18">
        <v>45973</v>
      </c>
      <c r="E1738" s="11" t="s">
        <v>2165</v>
      </c>
      <c r="F1738" s="11" t="s">
        <v>538</v>
      </c>
      <c r="G1738" s="19">
        <v>1025880</v>
      </c>
    </row>
    <row r="1739" spans="1:7">
      <c r="A1739" s="11" t="s">
        <v>62</v>
      </c>
      <c r="B1739" s="11" t="s">
        <v>172</v>
      </c>
      <c r="C1739" s="11" t="s">
        <v>25</v>
      </c>
      <c r="D1739" s="18">
        <v>45973</v>
      </c>
      <c r="E1739" s="11" t="s">
        <v>2165</v>
      </c>
      <c r="F1739" s="11" t="s">
        <v>538</v>
      </c>
      <c r="G1739" s="19">
        <v>1930970</v>
      </c>
    </row>
    <row r="1740" spans="1:7">
      <c r="A1740" s="11" t="s">
        <v>87</v>
      </c>
      <c r="B1740" s="11" t="s">
        <v>95</v>
      </c>
      <c r="C1740" s="11" t="s">
        <v>15</v>
      </c>
      <c r="D1740" s="18">
        <v>45973</v>
      </c>
      <c r="E1740" s="11" t="s">
        <v>2166</v>
      </c>
      <c r="F1740" s="11" t="s">
        <v>2167</v>
      </c>
      <c r="G1740" s="19">
        <v>1936000</v>
      </c>
    </row>
    <row r="1741" spans="1:7">
      <c r="A1741" s="11" t="s">
        <v>43</v>
      </c>
      <c r="B1741" s="11" t="s">
        <v>139</v>
      </c>
      <c r="C1741" s="11" t="s">
        <v>15</v>
      </c>
      <c r="D1741" s="18">
        <v>45973</v>
      </c>
      <c r="E1741" s="11" t="s">
        <v>2168</v>
      </c>
      <c r="F1741" s="11" t="s">
        <v>243</v>
      </c>
      <c r="G1741" s="19">
        <v>33000</v>
      </c>
    </row>
    <row r="1742" spans="1:7">
      <c r="A1742" s="11" t="s">
        <v>104</v>
      </c>
      <c r="B1742" s="11" t="s">
        <v>108</v>
      </c>
      <c r="C1742" s="11" t="s">
        <v>15</v>
      </c>
      <c r="D1742" s="18">
        <v>45973</v>
      </c>
      <c r="E1742" s="11" t="s">
        <v>2169</v>
      </c>
      <c r="F1742" s="11" t="s">
        <v>255</v>
      </c>
      <c r="G1742" s="19">
        <v>540</v>
      </c>
    </row>
    <row r="1743" spans="1:7">
      <c r="A1743" s="11" t="s">
        <v>22</v>
      </c>
      <c r="B1743" s="11" t="s">
        <v>119</v>
      </c>
      <c r="C1743" s="11" t="s">
        <v>120</v>
      </c>
      <c r="D1743" s="18">
        <v>45974</v>
      </c>
      <c r="E1743" s="11" t="s">
        <v>2170</v>
      </c>
      <c r="F1743" s="11" t="s">
        <v>2171</v>
      </c>
      <c r="G1743" s="19">
        <v>145680</v>
      </c>
    </row>
    <row r="1744" spans="1:7">
      <c r="A1744" s="11" t="s">
        <v>72</v>
      </c>
      <c r="B1744" s="11" t="s">
        <v>192</v>
      </c>
      <c r="C1744" s="11" t="s">
        <v>25</v>
      </c>
      <c r="D1744" s="18">
        <v>45974</v>
      </c>
      <c r="E1744" s="11" t="s">
        <v>2172</v>
      </c>
      <c r="F1744" s="11" t="s">
        <v>2173</v>
      </c>
      <c r="G1744" s="19">
        <v>260000</v>
      </c>
    </row>
    <row r="1745" spans="1:7">
      <c r="A1745" s="11" t="s">
        <v>72</v>
      </c>
      <c r="B1745" s="11" t="s">
        <v>192</v>
      </c>
      <c r="C1745" s="11" t="s">
        <v>25</v>
      </c>
      <c r="D1745" s="18">
        <v>45974</v>
      </c>
      <c r="E1745" s="11" t="s">
        <v>2174</v>
      </c>
      <c r="F1745" s="11" t="s">
        <v>2010</v>
      </c>
      <c r="G1745" s="19">
        <v>484000</v>
      </c>
    </row>
    <row r="1746" spans="1:7">
      <c r="A1746" s="11" t="s">
        <v>17</v>
      </c>
      <c r="B1746" s="11" t="s">
        <v>117</v>
      </c>
      <c r="C1746" s="11" t="s">
        <v>12</v>
      </c>
      <c r="D1746" s="18">
        <v>45974</v>
      </c>
      <c r="E1746" s="11" t="s">
        <v>2175</v>
      </c>
      <c r="F1746" s="11" t="s">
        <v>1787</v>
      </c>
      <c r="G1746" s="19">
        <v>240000</v>
      </c>
    </row>
    <row r="1747" spans="1:7">
      <c r="A1747" s="11" t="s">
        <v>87</v>
      </c>
      <c r="B1747" s="11" t="s">
        <v>88</v>
      </c>
      <c r="C1747" s="11" t="s">
        <v>92</v>
      </c>
      <c r="D1747" s="18">
        <v>45974</v>
      </c>
      <c r="E1747" s="11" t="s">
        <v>2175</v>
      </c>
      <c r="F1747" s="11" t="s">
        <v>1787</v>
      </c>
      <c r="G1747" s="19">
        <v>4500</v>
      </c>
    </row>
    <row r="1748" spans="1:7">
      <c r="A1748" s="11" t="s">
        <v>104</v>
      </c>
      <c r="B1748" s="11" t="s">
        <v>214</v>
      </c>
      <c r="C1748" s="11" t="s">
        <v>14</v>
      </c>
      <c r="D1748" s="18">
        <v>45974</v>
      </c>
      <c r="E1748" s="11" t="s">
        <v>2176</v>
      </c>
      <c r="F1748" s="11" t="s">
        <v>276</v>
      </c>
      <c r="G1748" s="19">
        <v>-26800</v>
      </c>
    </row>
    <row r="1749" spans="1:7">
      <c r="A1749" s="11" t="s">
        <v>130</v>
      </c>
      <c r="B1749" s="11" t="s">
        <v>35</v>
      </c>
      <c r="C1749" s="11" t="s">
        <v>34</v>
      </c>
      <c r="D1749" s="18">
        <v>45974</v>
      </c>
      <c r="E1749" s="11" t="s">
        <v>2177</v>
      </c>
      <c r="F1749" s="11" t="s">
        <v>2178</v>
      </c>
      <c r="G1749" s="19">
        <v>4689580</v>
      </c>
    </row>
    <row r="1750" spans="1:7">
      <c r="A1750" s="11" t="s">
        <v>54</v>
      </c>
      <c r="B1750" s="11" t="s">
        <v>1694</v>
      </c>
      <c r="C1750" s="11" t="s">
        <v>120</v>
      </c>
      <c r="D1750" s="18">
        <v>45978</v>
      </c>
      <c r="E1750" s="11" t="s">
        <v>2179</v>
      </c>
      <c r="F1750" s="11" t="s">
        <v>249</v>
      </c>
      <c r="G1750" s="19">
        <v>2416000</v>
      </c>
    </row>
    <row r="1751" spans="1:7">
      <c r="A1751" s="11" t="s">
        <v>54</v>
      </c>
      <c r="B1751" s="11" t="s">
        <v>1721</v>
      </c>
      <c r="C1751" s="11" t="s">
        <v>120</v>
      </c>
      <c r="D1751" s="18">
        <v>45978</v>
      </c>
      <c r="E1751" s="11" t="s">
        <v>2179</v>
      </c>
      <c r="F1751" s="11" t="s">
        <v>249</v>
      </c>
      <c r="G1751" s="19">
        <v>120000</v>
      </c>
    </row>
    <row r="1752" spans="1:7">
      <c r="A1752" s="11" t="s">
        <v>22</v>
      </c>
      <c r="B1752" s="11" t="s">
        <v>119</v>
      </c>
      <c r="C1752" s="11" t="s">
        <v>120</v>
      </c>
      <c r="D1752" s="18">
        <v>45978</v>
      </c>
      <c r="E1752" s="11" t="s">
        <v>2180</v>
      </c>
      <c r="F1752" s="11" t="s">
        <v>338</v>
      </c>
      <c r="G1752" s="19">
        <v>133540</v>
      </c>
    </row>
    <row r="1753" spans="1:7">
      <c r="A1753" s="11" t="s">
        <v>104</v>
      </c>
      <c r="B1753" s="11" t="s">
        <v>108</v>
      </c>
      <c r="C1753" s="11" t="s">
        <v>15</v>
      </c>
      <c r="D1753" s="18">
        <v>45978</v>
      </c>
      <c r="E1753" s="11" t="s">
        <v>2181</v>
      </c>
      <c r="F1753" s="11" t="s">
        <v>255</v>
      </c>
      <c r="G1753" s="19">
        <v>33000</v>
      </c>
    </row>
    <row r="1754" spans="1:7">
      <c r="A1754" s="11" t="s">
        <v>104</v>
      </c>
      <c r="B1754" s="11" t="s">
        <v>108</v>
      </c>
      <c r="C1754" s="11" t="s">
        <v>15</v>
      </c>
      <c r="D1754" s="18">
        <v>45978</v>
      </c>
      <c r="E1754" s="11" t="s">
        <v>2182</v>
      </c>
      <c r="F1754" s="11" t="s">
        <v>255</v>
      </c>
      <c r="G1754" s="19">
        <v>60</v>
      </c>
    </row>
    <row r="1755" spans="1:7">
      <c r="F1755" s="20" t="s">
        <v>2183</v>
      </c>
      <c r="G1755" s="21">
        <f>SUBTOTAL(9,$G$2:$G$1754)</f>
        <v>2111682405</v>
      </c>
    </row>
  </sheetData>
  <autoFilter ref="A1:G1754" xr:uid="{979D3A2A-E370-4956-925C-F87964460510}"/>
  <phoneticPr fontId="1" type="noConversion"/>
  <printOptions horizontalCentered="1"/>
  <pageMargins left="0.47244094488188981" right="0.31496062992125984" top="0.54" bottom="0.55118110236220474" header="0.31496062992125984" footer="0.31496062992125984"/>
  <pageSetup paperSize="9" scale="38" fitToHeight="22" orientation="landscape" r:id="rId1"/>
  <headerFooter>
    <oddFooter>&amp;C&amp;N쪽-&amp;P쪽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사용방법</vt:lpstr>
      <vt:lpstr>세부사업</vt:lpstr>
      <vt:lpstr>추경</vt:lpstr>
      <vt:lpstr>세부지출현황</vt:lpstr>
      <vt:lpstr>세부사업!Print_Titles</vt:lpstr>
      <vt:lpstr>세부지출현황!Print_Titles</vt:lpstr>
      <vt:lpstr>추경!Print_Titles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조상태</cp:lastModifiedBy>
  <cp:revision/>
  <dcterms:created xsi:type="dcterms:W3CDTF">2012-10-10T02:45:46Z</dcterms:created>
  <dcterms:modified xsi:type="dcterms:W3CDTF">2026-05-13T02:09:22Z</dcterms:modified>
  <cp:category/>
  <cp:contentStatus/>
</cp:coreProperties>
</file>